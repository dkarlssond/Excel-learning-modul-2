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karl\OneDrive\Documents\Bli excel mästare\"/>
    </mc:Choice>
  </mc:AlternateContent>
  <xr:revisionPtr revIDLastSave="0" documentId="13_ncr:1_{1DB2E8DD-113A-40F5-A4DC-C36CCB72A9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6" r:id="rId1"/>
    <sheet name="Produktregister" sheetId="2" r:id="rId2"/>
    <sheet name="Kundregister" sheetId="3" r:id="rId3"/>
    <sheet name="Rabattnivåer" sheetId="4" r:id="rId4"/>
    <sheet name="Order" sheetId="5" r:id="rId5"/>
    <sheet name="Uppgifter" sheetId="1" r:id="rId6"/>
    <sheet name="_Data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8" l="1"/>
  <c r="F4" i="8"/>
  <c r="F3" i="8"/>
  <c r="F2" i="8"/>
  <c r="E5" i="8"/>
  <c r="E4" i="8"/>
  <c r="E3" i="8"/>
  <c r="E2" i="8"/>
  <c r="C7" i="8"/>
  <c r="C6" i="8"/>
  <c r="C5" i="8"/>
  <c r="C4" i="8"/>
  <c r="C3" i="8"/>
  <c r="C2" i="8"/>
  <c r="B7" i="8"/>
  <c r="B6" i="8"/>
  <c r="B5" i="8"/>
  <c r="B4" i="8"/>
  <c r="B3" i="8"/>
  <c r="B2" i="8"/>
  <c r="A7" i="8"/>
  <c r="A6" i="8"/>
  <c r="A5" i="8"/>
  <c r="A4" i="8"/>
  <c r="A3" i="8"/>
  <c r="A2" i="8"/>
  <c r="F6" i="6"/>
  <c r="G33" i="6"/>
  <c r="F33" i="6"/>
  <c r="E33" i="6"/>
  <c r="D33" i="6"/>
  <c r="G32" i="6"/>
  <c r="F32" i="6"/>
  <c r="E32" i="6"/>
  <c r="D32" i="6"/>
  <c r="C32" i="6"/>
  <c r="B32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D29" i="6"/>
  <c r="C29" i="6"/>
  <c r="B29" i="6"/>
  <c r="G28" i="6"/>
  <c r="F28" i="6"/>
  <c r="E28" i="6"/>
  <c r="D28" i="6"/>
  <c r="C28" i="6"/>
  <c r="B28" i="6"/>
  <c r="G27" i="6"/>
  <c r="F27" i="6"/>
  <c r="E27" i="6"/>
  <c r="D27" i="6"/>
  <c r="C27" i="6"/>
  <c r="B27" i="6"/>
  <c r="G26" i="6"/>
  <c r="F26" i="6"/>
  <c r="E26" i="6"/>
  <c r="D26" i="6"/>
  <c r="C26" i="6"/>
  <c r="B26" i="6"/>
  <c r="G25" i="6"/>
  <c r="F25" i="6"/>
  <c r="E25" i="6"/>
  <c r="D25" i="6"/>
  <c r="C25" i="6"/>
  <c r="B25" i="6"/>
  <c r="G24" i="6"/>
  <c r="F24" i="6"/>
  <c r="E24" i="6"/>
  <c r="D24" i="6"/>
  <c r="C24" i="6"/>
  <c r="B24" i="6"/>
  <c r="G23" i="6"/>
  <c r="F23" i="6"/>
  <c r="E23" i="6"/>
  <c r="D23" i="6"/>
  <c r="C23" i="6"/>
  <c r="B23" i="6"/>
  <c r="K16" i="6"/>
  <c r="J16" i="6"/>
  <c r="I16" i="6"/>
  <c r="H16" i="6"/>
  <c r="K15" i="6"/>
  <c r="J15" i="6"/>
  <c r="I15" i="6"/>
  <c r="H15" i="6"/>
  <c r="G15" i="6"/>
  <c r="K14" i="6"/>
  <c r="J14" i="6"/>
  <c r="I14" i="6"/>
  <c r="H14" i="6"/>
  <c r="G14" i="6"/>
  <c r="K13" i="6"/>
  <c r="J13" i="6"/>
  <c r="I13" i="6"/>
  <c r="H13" i="6"/>
  <c r="G13" i="6"/>
  <c r="K12" i="6"/>
  <c r="J12" i="6"/>
  <c r="I12" i="6"/>
  <c r="H12" i="6"/>
  <c r="G12" i="6"/>
  <c r="E18" i="6"/>
  <c r="D18" i="6"/>
  <c r="C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N6" i="6"/>
  <c r="J6" i="6"/>
  <c r="B6" i="6"/>
  <c r="AE5" i="6" a="1"/>
  <c r="AE5" i="6" s="1"/>
  <c r="AE4" i="6" a="1"/>
  <c r="AE4" i="6" s="1"/>
  <c r="AE3" i="6" a="1"/>
  <c r="AE3" i="6" s="1"/>
  <c r="AB12" i="6"/>
  <c r="AB11" i="6"/>
  <c r="AB10" i="6"/>
  <c r="AB9" i="6"/>
  <c r="AB8" i="6"/>
  <c r="AB7" i="6"/>
  <c r="AB6" i="6"/>
  <c r="AB5" i="6"/>
  <c r="AB4" i="6"/>
  <c r="AB3" i="6"/>
  <c r="AA12" i="6"/>
  <c r="AA11" i="6"/>
  <c r="AA10" i="6"/>
  <c r="AA9" i="6"/>
  <c r="AA8" i="6"/>
  <c r="AA7" i="6"/>
  <c r="AA6" i="6"/>
  <c r="AA5" i="6"/>
  <c r="AA4" i="6"/>
  <c r="AA3" i="6"/>
  <c r="X6" i="6" a="1"/>
  <c r="X6" i="6" s="1"/>
  <c r="X5" i="6" a="1"/>
  <c r="X5" i="6" s="1"/>
  <c r="X4" i="6" a="1"/>
  <c r="X4" i="6" s="1"/>
  <c r="X3" i="6" a="1"/>
  <c r="X3" i="6" s="1"/>
  <c r="W6" i="6" a="1"/>
  <c r="W6" i="6" s="1"/>
  <c r="W5" i="6" a="1"/>
  <c r="W5" i="6" s="1"/>
  <c r="W4" i="6" a="1"/>
  <c r="W4" i="6" s="1"/>
  <c r="W3" i="6" a="1"/>
  <c r="W3" i="6" s="1"/>
  <c r="T8" i="6"/>
  <c r="T7" i="6"/>
  <c r="T6" i="6"/>
  <c r="T5" i="6"/>
  <c r="T4" i="6"/>
  <c r="T3" i="6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H2" i="5"/>
  <c r="K2" i="5" s="1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H3" i="5"/>
  <c r="K3" i="5" s="1"/>
  <c r="H4" i="5"/>
  <c r="K4" i="5" s="1"/>
  <c r="H5" i="5"/>
  <c r="K5" i="5" s="1"/>
  <c r="H6" i="5"/>
  <c r="K6" i="5" s="1"/>
  <c r="H7" i="5"/>
  <c r="K7" i="5" s="1"/>
  <c r="H8" i="5"/>
  <c r="K8" i="5" s="1"/>
  <c r="H9" i="5"/>
  <c r="K9" i="5" s="1"/>
  <c r="H10" i="5"/>
  <c r="K10" i="5" s="1"/>
  <c r="H11" i="5"/>
  <c r="K11" i="5" s="1"/>
  <c r="H12" i="5"/>
  <c r="K12" i="5" s="1"/>
  <c r="H13" i="5"/>
  <c r="K13" i="5" s="1"/>
  <c r="H14" i="5"/>
  <c r="K14" i="5" s="1"/>
  <c r="H15" i="5"/>
  <c r="K15" i="5" s="1"/>
  <c r="H16" i="5"/>
  <c r="K16" i="5" s="1"/>
  <c r="H17" i="5"/>
  <c r="K17" i="5" s="1"/>
  <c r="H18" i="5"/>
  <c r="K18" i="5" s="1"/>
  <c r="H19" i="5"/>
  <c r="K19" i="5" s="1"/>
  <c r="H20" i="5"/>
  <c r="K20" i="5" s="1"/>
  <c r="H21" i="5"/>
  <c r="K21" i="5" s="1"/>
  <c r="H22" i="5"/>
  <c r="K22" i="5" s="1"/>
  <c r="H23" i="5"/>
  <c r="K23" i="5" s="1"/>
  <c r="H24" i="5"/>
  <c r="K24" i="5" s="1"/>
  <c r="H25" i="5"/>
  <c r="K25" i="5" s="1"/>
  <c r="H26" i="5"/>
  <c r="K26" i="5" s="1"/>
  <c r="H27" i="5"/>
  <c r="K27" i="5" s="1"/>
  <c r="H28" i="5"/>
  <c r="K28" i="5" s="1"/>
  <c r="H29" i="5"/>
  <c r="K29" i="5" s="1"/>
  <c r="H30" i="5"/>
  <c r="K30" i="5" s="1"/>
  <c r="H31" i="5"/>
  <c r="K31" i="5" s="1"/>
  <c r="H32" i="5"/>
  <c r="K32" i="5" s="1"/>
  <c r="H33" i="5"/>
  <c r="K33" i="5" s="1"/>
  <c r="H34" i="5"/>
  <c r="K34" i="5" s="1"/>
  <c r="H35" i="5"/>
  <c r="K35" i="5" s="1"/>
  <c r="H36" i="5"/>
  <c r="K36" i="5" s="1"/>
  <c r="H37" i="5"/>
  <c r="K37" i="5" s="1"/>
  <c r="H38" i="5"/>
  <c r="K38" i="5" s="1"/>
  <c r="H39" i="5"/>
  <c r="K39" i="5" s="1"/>
  <c r="H40" i="5"/>
  <c r="K40" i="5" s="1"/>
  <c r="H41" i="5"/>
  <c r="K41" i="5" s="1"/>
  <c r="H42" i="5"/>
  <c r="K42" i="5" s="1"/>
  <c r="H43" i="5"/>
  <c r="K43" i="5" s="1"/>
  <c r="H44" i="5"/>
  <c r="K44" i="5" s="1"/>
  <c r="H45" i="5"/>
  <c r="K45" i="5" s="1"/>
  <c r="H46" i="5"/>
  <c r="K46" i="5" s="1"/>
  <c r="H47" i="5"/>
  <c r="K47" i="5" s="1"/>
  <c r="H48" i="5"/>
  <c r="K48" i="5" s="1"/>
  <c r="H49" i="5"/>
  <c r="K49" i="5" s="1"/>
  <c r="H50" i="5"/>
  <c r="K50" i="5" s="1"/>
  <c r="H51" i="5"/>
  <c r="K51" i="5" s="1"/>
  <c r="H52" i="5"/>
  <c r="K52" i="5" s="1"/>
  <c r="H53" i="5"/>
  <c r="K53" i="5" s="1"/>
  <c r="H54" i="5"/>
  <c r="K54" i="5" s="1"/>
  <c r="H55" i="5"/>
  <c r="K55" i="5" s="1"/>
  <c r="H56" i="5"/>
  <c r="K56" i="5" s="1"/>
  <c r="H57" i="5"/>
  <c r="K57" i="5" s="1"/>
  <c r="H58" i="5"/>
  <c r="K58" i="5" s="1"/>
  <c r="H59" i="5"/>
  <c r="K59" i="5" s="1"/>
  <c r="H60" i="5"/>
  <c r="K60" i="5" s="1"/>
  <c r="H61" i="5"/>
  <c r="K61" i="5" s="1"/>
  <c r="H62" i="5"/>
  <c r="K62" i="5" s="1"/>
  <c r="H63" i="5"/>
  <c r="K63" i="5" s="1"/>
  <c r="H64" i="5"/>
  <c r="K64" i="5" s="1"/>
  <c r="H65" i="5"/>
  <c r="K65" i="5" s="1"/>
  <c r="H66" i="5"/>
  <c r="K66" i="5" s="1"/>
  <c r="H67" i="5"/>
  <c r="K67" i="5" s="1"/>
  <c r="H68" i="5"/>
  <c r="K68" i="5" s="1"/>
  <c r="H69" i="5"/>
  <c r="K69" i="5" s="1"/>
  <c r="H70" i="5"/>
  <c r="K70" i="5" s="1"/>
  <c r="H71" i="5"/>
  <c r="K71" i="5" s="1"/>
  <c r="H72" i="5"/>
  <c r="K72" i="5" s="1"/>
  <c r="H73" i="5"/>
  <c r="K73" i="5" s="1"/>
  <c r="H74" i="5"/>
  <c r="K74" i="5" s="1"/>
  <c r="H75" i="5"/>
  <c r="K75" i="5" s="1"/>
  <c r="H76" i="5"/>
  <c r="K76" i="5" s="1"/>
  <c r="H77" i="5"/>
  <c r="K77" i="5" s="1"/>
  <c r="H78" i="5"/>
  <c r="K78" i="5" s="1"/>
  <c r="H79" i="5"/>
  <c r="K79" i="5" s="1"/>
  <c r="H80" i="5"/>
  <c r="K80" i="5" s="1"/>
  <c r="H81" i="5"/>
  <c r="K81" i="5" s="1"/>
  <c r="H82" i="5"/>
  <c r="K82" i="5" s="1"/>
  <c r="H83" i="5"/>
  <c r="K83" i="5" s="1"/>
  <c r="H84" i="5"/>
  <c r="K84" i="5" s="1"/>
  <c r="H85" i="5"/>
  <c r="K85" i="5" s="1"/>
  <c r="H86" i="5"/>
  <c r="K86" i="5" s="1"/>
  <c r="H87" i="5"/>
  <c r="K87" i="5" s="1"/>
  <c r="H88" i="5"/>
  <c r="K88" i="5" s="1"/>
  <c r="H89" i="5"/>
  <c r="K89" i="5" s="1"/>
  <c r="H90" i="5"/>
  <c r="K90" i="5" s="1"/>
  <c r="H91" i="5"/>
  <c r="K91" i="5" s="1"/>
  <c r="H92" i="5"/>
  <c r="K92" i="5" s="1"/>
  <c r="H93" i="5"/>
  <c r="K93" i="5" s="1"/>
  <c r="H94" i="5"/>
  <c r="K94" i="5" s="1"/>
  <c r="H95" i="5"/>
  <c r="K95" i="5" s="1"/>
  <c r="H96" i="5"/>
  <c r="K96" i="5" s="1"/>
  <c r="H97" i="5"/>
  <c r="K97" i="5" s="1"/>
  <c r="H98" i="5"/>
  <c r="K98" i="5" s="1"/>
  <c r="H99" i="5"/>
  <c r="K99" i="5" s="1"/>
  <c r="H100" i="5"/>
  <c r="K100" i="5" s="1"/>
  <c r="H101" i="5"/>
  <c r="K101" i="5" s="1"/>
  <c r="H102" i="5"/>
  <c r="K102" i="5" s="1"/>
  <c r="H103" i="5"/>
  <c r="K103" i="5" s="1"/>
  <c r="H104" i="5"/>
  <c r="K104" i="5" s="1"/>
  <c r="H105" i="5"/>
  <c r="K105" i="5" s="1"/>
  <c r="H106" i="5"/>
  <c r="K106" i="5" s="1"/>
  <c r="H107" i="5"/>
  <c r="K107" i="5" s="1"/>
  <c r="H108" i="5"/>
  <c r="K108" i="5" s="1"/>
  <c r="H109" i="5"/>
  <c r="K109" i="5" s="1"/>
  <c r="H110" i="5"/>
  <c r="K110" i="5" s="1"/>
  <c r="H111" i="5"/>
  <c r="K111" i="5" s="1"/>
  <c r="H112" i="5"/>
  <c r="K112" i="5" s="1"/>
  <c r="H113" i="5"/>
  <c r="K113" i="5" s="1"/>
  <c r="H114" i="5"/>
  <c r="K114" i="5" s="1"/>
  <c r="H115" i="5"/>
  <c r="K115" i="5" s="1"/>
  <c r="H116" i="5"/>
  <c r="K116" i="5" s="1"/>
  <c r="H117" i="5"/>
  <c r="K117" i="5" s="1"/>
  <c r="H118" i="5"/>
  <c r="K118" i="5" s="1"/>
  <c r="H119" i="5"/>
  <c r="K119" i="5" s="1"/>
  <c r="H120" i="5"/>
  <c r="K120" i="5" s="1"/>
  <c r="H121" i="5"/>
  <c r="K121" i="5" s="1"/>
  <c r="H122" i="5"/>
  <c r="K122" i="5" s="1"/>
  <c r="H123" i="5"/>
  <c r="K123" i="5" s="1"/>
  <c r="H124" i="5"/>
  <c r="K124" i="5" s="1"/>
  <c r="H125" i="5"/>
  <c r="K125" i="5" s="1"/>
  <c r="H126" i="5"/>
  <c r="K126" i="5" s="1"/>
  <c r="H127" i="5"/>
  <c r="K127" i="5" s="1"/>
  <c r="H128" i="5"/>
  <c r="K128" i="5" s="1"/>
  <c r="H129" i="5"/>
  <c r="K129" i="5" s="1"/>
  <c r="H130" i="5"/>
  <c r="K130" i="5" s="1"/>
  <c r="H131" i="5"/>
  <c r="K131" i="5" s="1"/>
  <c r="H132" i="5"/>
  <c r="K132" i="5" s="1"/>
  <c r="H133" i="5"/>
  <c r="K133" i="5" s="1"/>
  <c r="H134" i="5"/>
  <c r="K134" i="5" s="1"/>
  <c r="H135" i="5"/>
  <c r="K135" i="5" s="1"/>
  <c r="H136" i="5"/>
  <c r="K136" i="5" s="1"/>
  <c r="H137" i="5"/>
  <c r="K137" i="5" s="1"/>
  <c r="H138" i="5"/>
  <c r="K138" i="5" s="1"/>
  <c r="H139" i="5"/>
  <c r="K139" i="5" s="1"/>
  <c r="H140" i="5"/>
  <c r="K140" i="5" s="1"/>
  <c r="H141" i="5"/>
  <c r="K141" i="5" s="1"/>
  <c r="H142" i="5"/>
  <c r="K142" i="5" s="1"/>
  <c r="H143" i="5"/>
  <c r="K143" i="5" s="1"/>
  <c r="H144" i="5"/>
  <c r="K144" i="5" s="1"/>
  <c r="H145" i="5"/>
  <c r="K145" i="5" s="1"/>
  <c r="H146" i="5"/>
  <c r="K146" i="5" s="1"/>
  <c r="H147" i="5"/>
  <c r="K147" i="5" s="1"/>
  <c r="H148" i="5"/>
  <c r="K148" i="5" s="1"/>
  <c r="H149" i="5"/>
  <c r="K149" i="5" s="1"/>
  <c r="H150" i="5"/>
  <c r="K150" i="5" s="1"/>
  <c r="H151" i="5"/>
  <c r="K151" i="5" s="1"/>
  <c r="H152" i="5"/>
  <c r="K152" i="5" s="1"/>
  <c r="H153" i="5"/>
  <c r="K153" i="5" s="1"/>
  <c r="H154" i="5"/>
  <c r="K154" i="5" s="1"/>
  <c r="H155" i="5"/>
  <c r="K155" i="5" s="1"/>
  <c r="H156" i="5"/>
  <c r="K156" i="5" s="1"/>
  <c r="H157" i="5"/>
  <c r="K157" i="5" s="1"/>
  <c r="H158" i="5"/>
  <c r="K158" i="5" s="1"/>
  <c r="H159" i="5"/>
  <c r="K159" i="5" s="1"/>
  <c r="H160" i="5"/>
  <c r="K160" i="5" s="1"/>
  <c r="H161" i="5"/>
  <c r="K161" i="5" s="1"/>
  <c r="H162" i="5"/>
  <c r="K162" i="5" s="1"/>
  <c r="H163" i="5"/>
  <c r="K163" i="5" s="1"/>
  <c r="H164" i="5"/>
  <c r="K164" i="5" s="1"/>
  <c r="H165" i="5"/>
  <c r="K165" i="5" s="1"/>
  <c r="H166" i="5"/>
  <c r="K166" i="5" s="1"/>
  <c r="H167" i="5"/>
  <c r="K167" i="5" s="1"/>
  <c r="H168" i="5"/>
  <c r="K168" i="5" s="1"/>
  <c r="H169" i="5"/>
  <c r="K169" i="5" s="1"/>
  <c r="H170" i="5"/>
  <c r="K170" i="5" s="1"/>
  <c r="H171" i="5"/>
  <c r="K171" i="5" s="1"/>
  <c r="H172" i="5"/>
  <c r="K172" i="5" s="1"/>
  <c r="H173" i="5"/>
  <c r="K173" i="5" s="1"/>
  <c r="H174" i="5"/>
  <c r="K174" i="5" s="1"/>
  <c r="H175" i="5"/>
  <c r="K175" i="5" s="1"/>
  <c r="H176" i="5"/>
  <c r="K176" i="5" s="1"/>
  <c r="H177" i="5"/>
  <c r="K177" i="5" s="1"/>
  <c r="H178" i="5"/>
  <c r="K178" i="5" s="1"/>
  <c r="H179" i="5"/>
  <c r="K179" i="5" s="1"/>
  <c r="H180" i="5"/>
  <c r="K180" i="5" s="1"/>
  <c r="H181" i="5"/>
  <c r="K181" i="5" s="1"/>
  <c r="H182" i="5"/>
  <c r="K182" i="5" s="1"/>
  <c r="H183" i="5"/>
  <c r="K183" i="5" s="1"/>
  <c r="H184" i="5"/>
  <c r="K184" i="5" s="1"/>
  <c r="H185" i="5"/>
  <c r="K185" i="5" s="1"/>
  <c r="H186" i="5"/>
  <c r="K186" i="5" s="1"/>
  <c r="H187" i="5"/>
  <c r="K187" i="5" s="1"/>
  <c r="H188" i="5"/>
  <c r="K188" i="5" s="1"/>
  <c r="H189" i="5"/>
  <c r="K189" i="5" s="1"/>
  <c r="H190" i="5"/>
  <c r="K190" i="5" s="1"/>
  <c r="H191" i="5"/>
  <c r="K191" i="5" s="1"/>
  <c r="H192" i="5"/>
  <c r="K192" i="5" s="1"/>
  <c r="H193" i="5"/>
  <c r="K193" i="5" s="1"/>
  <c r="H194" i="5"/>
  <c r="K194" i="5" s="1"/>
  <c r="H195" i="5"/>
  <c r="K195" i="5" s="1"/>
  <c r="H196" i="5"/>
  <c r="K196" i="5" s="1"/>
  <c r="H197" i="5"/>
  <c r="K197" i="5" s="1"/>
  <c r="H198" i="5"/>
  <c r="K198" i="5" s="1"/>
  <c r="H199" i="5"/>
  <c r="K199" i="5" s="1"/>
  <c r="H200" i="5"/>
  <c r="K200" i="5" s="1"/>
  <c r="H201" i="5"/>
  <c r="K201" i="5" s="1"/>
  <c r="H202" i="5"/>
  <c r="K202" i="5" s="1"/>
  <c r="H203" i="5"/>
  <c r="K203" i="5" s="1"/>
  <c r="H204" i="5"/>
  <c r="K204" i="5" s="1"/>
  <c r="H205" i="5"/>
  <c r="K205" i="5" s="1"/>
  <c r="H206" i="5"/>
  <c r="K206" i="5" s="1"/>
  <c r="H207" i="5"/>
  <c r="K207" i="5" s="1"/>
  <c r="H208" i="5"/>
  <c r="K208" i="5" s="1"/>
  <c r="H209" i="5"/>
  <c r="K209" i="5" s="1"/>
  <c r="H210" i="5"/>
  <c r="K210" i="5" s="1"/>
  <c r="H211" i="5"/>
  <c r="K211" i="5" s="1"/>
  <c r="H212" i="5"/>
  <c r="K212" i="5" s="1"/>
  <c r="H213" i="5"/>
  <c r="K213" i="5" s="1"/>
  <c r="H214" i="5"/>
  <c r="K214" i="5" s="1"/>
  <c r="H215" i="5"/>
  <c r="K215" i="5" s="1"/>
  <c r="H216" i="5"/>
  <c r="K216" i="5" s="1"/>
  <c r="H217" i="5"/>
  <c r="K217" i="5" s="1"/>
  <c r="H218" i="5"/>
  <c r="K218" i="5" s="1"/>
  <c r="H219" i="5"/>
  <c r="K219" i="5" s="1"/>
  <c r="H220" i="5"/>
  <c r="K220" i="5" s="1"/>
  <c r="H221" i="5"/>
  <c r="K221" i="5" s="1"/>
  <c r="H222" i="5"/>
  <c r="K222" i="5" s="1"/>
  <c r="H223" i="5"/>
  <c r="K223" i="5" s="1"/>
  <c r="H224" i="5"/>
  <c r="K224" i="5" s="1"/>
  <c r="H225" i="5"/>
  <c r="K225" i="5" s="1"/>
  <c r="H226" i="5"/>
  <c r="K226" i="5" s="1"/>
  <c r="H227" i="5"/>
  <c r="K227" i="5" s="1"/>
  <c r="H228" i="5"/>
  <c r="K228" i="5" s="1"/>
  <c r="H229" i="5"/>
  <c r="K229" i="5" s="1"/>
  <c r="H230" i="5"/>
  <c r="K230" i="5" s="1"/>
  <c r="H231" i="5"/>
  <c r="K231" i="5" s="1"/>
  <c r="H232" i="5"/>
  <c r="K232" i="5" s="1"/>
  <c r="H233" i="5"/>
  <c r="K233" i="5" s="1"/>
  <c r="H234" i="5"/>
  <c r="K234" i="5" s="1"/>
  <c r="H235" i="5"/>
  <c r="K235" i="5" s="1"/>
  <c r="H236" i="5"/>
  <c r="K236" i="5" s="1"/>
  <c r="H237" i="5"/>
  <c r="K237" i="5" s="1"/>
  <c r="H238" i="5"/>
  <c r="K238" i="5" s="1"/>
  <c r="H239" i="5"/>
  <c r="K239" i="5" s="1"/>
  <c r="H240" i="5"/>
  <c r="K240" i="5" s="1"/>
  <c r="H241" i="5"/>
  <c r="K241" i="5" s="1"/>
  <c r="H242" i="5"/>
  <c r="K242" i="5" s="1"/>
  <c r="H243" i="5"/>
  <c r="K243" i="5" s="1"/>
  <c r="H244" i="5"/>
  <c r="K244" i="5" s="1"/>
  <c r="H245" i="5"/>
  <c r="K245" i="5" s="1"/>
  <c r="H246" i="5"/>
  <c r="K246" i="5" s="1"/>
  <c r="H247" i="5"/>
  <c r="K247" i="5" s="1"/>
  <c r="H248" i="5"/>
  <c r="K248" i="5" s="1"/>
  <c r="H249" i="5"/>
  <c r="K249" i="5" s="1"/>
  <c r="H250" i="5"/>
  <c r="K250" i="5" s="1"/>
  <c r="H251" i="5"/>
  <c r="K251" i="5" s="1"/>
  <c r="H252" i="5"/>
  <c r="K252" i="5" s="1"/>
  <c r="H253" i="5"/>
  <c r="K253" i="5" s="1"/>
  <c r="H254" i="5"/>
  <c r="K254" i="5" s="1"/>
  <c r="H255" i="5"/>
  <c r="K255" i="5" s="1"/>
  <c r="H256" i="5"/>
  <c r="K256" i="5" s="1"/>
  <c r="H257" i="5"/>
  <c r="K257" i="5" s="1"/>
  <c r="H258" i="5"/>
  <c r="K258" i="5" s="1"/>
  <c r="H259" i="5"/>
  <c r="K259" i="5" s="1"/>
  <c r="H260" i="5"/>
  <c r="K260" i="5" s="1"/>
  <c r="H261" i="5"/>
  <c r="K261" i="5" s="1"/>
  <c r="H262" i="5"/>
  <c r="K262" i="5" s="1"/>
  <c r="H263" i="5"/>
  <c r="K263" i="5" s="1"/>
  <c r="H264" i="5"/>
  <c r="K264" i="5" s="1"/>
  <c r="H265" i="5"/>
  <c r="K265" i="5" s="1"/>
  <c r="H266" i="5"/>
  <c r="K266" i="5" s="1"/>
  <c r="H267" i="5"/>
  <c r="K267" i="5" s="1"/>
  <c r="H268" i="5"/>
  <c r="K268" i="5" s="1"/>
  <c r="H269" i="5"/>
  <c r="K269" i="5" s="1"/>
  <c r="H270" i="5"/>
  <c r="K270" i="5" s="1"/>
  <c r="H271" i="5"/>
  <c r="K271" i="5" s="1"/>
  <c r="H272" i="5"/>
  <c r="K272" i="5" s="1"/>
  <c r="H273" i="5"/>
  <c r="K273" i="5" s="1"/>
  <c r="H274" i="5"/>
  <c r="K274" i="5" s="1"/>
  <c r="H275" i="5"/>
  <c r="K275" i="5" s="1"/>
  <c r="H276" i="5"/>
  <c r="K276" i="5" s="1"/>
  <c r="H277" i="5"/>
  <c r="K277" i="5" s="1"/>
  <c r="H278" i="5"/>
  <c r="K278" i="5" s="1"/>
  <c r="H279" i="5"/>
  <c r="K279" i="5" s="1"/>
  <c r="H280" i="5"/>
  <c r="K280" i="5" s="1"/>
  <c r="H281" i="5"/>
  <c r="K281" i="5" s="1"/>
  <c r="H282" i="5"/>
  <c r="K282" i="5" s="1"/>
  <c r="H283" i="5"/>
  <c r="K283" i="5" s="1"/>
  <c r="H284" i="5"/>
  <c r="K284" i="5" s="1"/>
  <c r="H285" i="5"/>
  <c r="K285" i="5" s="1"/>
  <c r="H286" i="5"/>
  <c r="K286" i="5" s="1"/>
  <c r="H287" i="5"/>
  <c r="K287" i="5" s="1"/>
  <c r="H288" i="5"/>
  <c r="K288" i="5" s="1"/>
  <c r="H289" i="5"/>
  <c r="K289" i="5" s="1"/>
  <c r="H290" i="5"/>
  <c r="K290" i="5" s="1"/>
  <c r="H291" i="5"/>
  <c r="K291" i="5" s="1"/>
  <c r="H292" i="5"/>
  <c r="K292" i="5" s="1"/>
  <c r="H293" i="5"/>
  <c r="K293" i="5" s="1"/>
  <c r="H294" i="5"/>
  <c r="K294" i="5" s="1"/>
  <c r="H295" i="5"/>
  <c r="K295" i="5" s="1"/>
  <c r="H296" i="5"/>
  <c r="K296" i="5" s="1"/>
  <c r="H297" i="5"/>
  <c r="K297" i="5" s="1"/>
  <c r="H298" i="5"/>
  <c r="K298" i="5" s="1"/>
  <c r="H299" i="5"/>
  <c r="K299" i="5" s="1"/>
  <c r="H300" i="5"/>
  <c r="K300" i="5" s="1"/>
  <c r="H301" i="5"/>
  <c r="K301" i="5" s="1"/>
  <c r="H302" i="5"/>
  <c r="K302" i="5" s="1"/>
  <c r="H303" i="5"/>
  <c r="K303" i="5" s="1"/>
  <c r="H304" i="5"/>
  <c r="K304" i="5" s="1"/>
  <c r="H305" i="5"/>
  <c r="K305" i="5" s="1"/>
  <c r="H306" i="5"/>
  <c r="K306" i="5" s="1"/>
  <c r="H307" i="5"/>
  <c r="K307" i="5" s="1"/>
  <c r="H308" i="5"/>
  <c r="K308" i="5" s="1"/>
  <c r="H309" i="5"/>
  <c r="K309" i="5" s="1"/>
  <c r="H310" i="5"/>
  <c r="K310" i="5" s="1"/>
  <c r="H311" i="5"/>
  <c r="K311" i="5" s="1"/>
  <c r="H312" i="5"/>
  <c r="K312" i="5" s="1"/>
  <c r="H313" i="5"/>
  <c r="K313" i="5" s="1"/>
  <c r="H314" i="5"/>
  <c r="K314" i="5" s="1"/>
  <c r="H315" i="5"/>
  <c r="K315" i="5" s="1"/>
  <c r="H316" i="5"/>
  <c r="K316" i="5" s="1"/>
  <c r="H317" i="5"/>
  <c r="K317" i="5" s="1"/>
  <c r="H318" i="5"/>
  <c r="K318" i="5" s="1"/>
  <c r="H319" i="5"/>
  <c r="K319" i="5" s="1"/>
  <c r="H320" i="5"/>
  <c r="K320" i="5" s="1"/>
  <c r="H321" i="5"/>
  <c r="K321" i="5" s="1"/>
  <c r="H322" i="5"/>
  <c r="K322" i="5" s="1"/>
  <c r="H323" i="5"/>
  <c r="K323" i="5" s="1"/>
  <c r="H324" i="5"/>
  <c r="K324" i="5" s="1"/>
  <c r="H325" i="5"/>
  <c r="K325" i="5" s="1"/>
  <c r="H326" i="5"/>
  <c r="K326" i="5" s="1"/>
  <c r="H327" i="5"/>
  <c r="K327" i="5" s="1"/>
  <c r="H328" i="5"/>
  <c r="K328" i="5" s="1"/>
  <c r="H329" i="5"/>
  <c r="K329" i="5" s="1"/>
  <c r="H330" i="5"/>
  <c r="K330" i="5" s="1"/>
  <c r="H331" i="5"/>
  <c r="K331" i="5" s="1"/>
  <c r="H332" i="5"/>
  <c r="K332" i="5" s="1"/>
  <c r="H333" i="5"/>
  <c r="K333" i="5" s="1"/>
  <c r="H334" i="5"/>
  <c r="K334" i="5" s="1"/>
  <c r="H335" i="5"/>
  <c r="K335" i="5" s="1"/>
  <c r="H336" i="5"/>
  <c r="K336" i="5" s="1"/>
  <c r="H337" i="5"/>
  <c r="K337" i="5" s="1"/>
  <c r="H338" i="5"/>
  <c r="K338" i="5" s="1"/>
  <c r="H339" i="5"/>
  <c r="K339" i="5" s="1"/>
  <c r="H340" i="5"/>
  <c r="K340" i="5" s="1"/>
  <c r="H341" i="5"/>
  <c r="K341" i="5" s="1"/>
  <c r="H342" i="5"/>
  <c r="K342" i="5" s="1"/>
  <c r="H343" i="5"/>
  <c r="K343" i="5" s="1"/>
  <c r="H344" i="5"/>
  <c r="K344" i="5" s="1"/>
  <c r="H345" i="5"/>
  <c r="K345" i="5" s="1"/>
  <c r="H346" i="5"/>
  <c r="K346" i="5" s="1"/>
  <c r="H347" i="5"/>
  <c r="K347" i="5" s="1"/>
  <c r="H348" i="5"/>
  <c r="K348" i="5" s="1"/>
  <c r="H349" i="5"/>
  <c r="K349" i="5" s="1"/>
  <c r="H350" i="5"/>
  <c r="K350" i="5" s="1"/>
  <c r="H351" i="5"/>
  <c r="K351" i="5" s="1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S8" i="6" l="1"/>
  <c r="S7" i="6"/>
  <c r="S3" i="6"/>
  <c r="S6" i="6"/>
  <c r="S5" i="6"/>
  <c r="S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<sst xmlns="http://schemas.openxmlformats.org/spreadsheetml/2006/main" count="1587" uniqueCount="467">
  <si>
    <t>MODUL 2 – Din första uppslagsformel: XLOOKUP</t>
  </si>
  <si>
    <t>Case: Intäktsanalys – Nordvik Industri AB</t>
  </si>
  <si>
    <t>Uppgift 1 – Styckpris (kolumn H)</t>
  </si>
  <si>
    <t>Samma formel som exemplet, men hämta priset istället för namnet. Skriv i cell H2:</t>
  </si>
  <si>
    <t>Uppgift 2 – Självkostnad/st (kolumn I)</t>
  </si>
  <si>
    <t>Exakt samma mönster – nu helt själv. Hämta självkostnaden ur tblProd till cell I2.</t>
  </si>
  <si>
    <t>Uppgift 3 – Kund (kolumn J)  ·  nytt: felhantering</t>
  </si>
  <si>
    <t>Hämta kundnamnet ur tblKund med kundkoden. Men: några kundkoder saknas i registret</t>
  </si>
  <si>
    <t>och ger då felmeddelandet #SAKNAS!. Lägg till en FJÄRDE del som visar text istället:</t>
  </si>
  <si>
    <t>Uppgift 4 – Intäkt (kolumn K)  ·  belöningen</t>
  </si>
  <si>
    <t>Nu har du pris på varje rad – då kan du räkna intäkt. Ingen uppslagning, bara multiplikation:</t>
  </si>
  <si>
    <t>Uppgift 5 (frivillig utmaning) – Rabattsats (kolumn L)</t>
  </si>
  <si>
    <t>Hoppa över den här först om du vill. När du känner dig redo:</t>
  </si>
  <si>
    <t>Kunder får mängdrabatt enligt trappan i fliken Rabattnivåer (0/50/100/250/500 enheter).</t>
  </si>
  <si>
    <t>En vanlig XLOOKUP kräver exakt träff – men 180 enheter finns inte i trappan. Lägg till en</t>
  </si>
  <si>
    <t>FEMTE del, -1, som betyder "ta exakt träff ELLER närmast lägre":</t>
  </si>
  <si>
    <t>Produktkod</t>
  </si>
  <si>
    <t>Produktnamn</t>
  </si>
  <si>
    <t>Kategori</t>
  </si>
  <si>
    <t>Styckpris</t>
  </si>
  <si>
    <t>Självkostnad/st</t>
  </si>
  <si>
    <t>P-101</t>
  </si>
  <si>
    <t>Hydraulcylinder HC-50</t>
  </si>
  <si>
    <t>Hydraulik</t>
  </si>
  <si>
    <t>P-102</t>
  </si>
  <si>
    <t>Hydraulpump HP-200</t>
  </si>
  <si>
    <t>P-103</t>
  </si>
  <si>
    <t>Ventilblock VB-30</t>
  </si>
  <si>
    <t>P-104</t>
  </si>
  <si>
    <t>Montagesats MS-10</t>
  </si>
  <si>
    <t>Montage</t>
  </si>
  <si>
    <t>P-105</t>
  </si>
  <si>
    <t>Fästplatta FP-A4</t>
  </si>
  <si>
    <t>P-106</t>
  </si>
  <si>
    <t>Skruvkit SK-100</t>
  </si>
  <si>
    <t>P-107</t>
  </si>
  <si>
    <t>Styrenhet CU-X1</t>
  </si>
  <si>
    <t>Elektronik</t>
  </si>
  <si>
    <t>P-108</t>
  </si>
  <si>
    <t>Sensor S-45</t>
  </si>
  <si>
    <t>P-109</t>
  </si>
  <si>
    <t>Kabelhärva KH-7</t>
  </si>
  <si>
    <t>P-110</t>
  </si>
  <si>
    <t>Lagersats LS-22</t>
  </si>
  <si>
    <t>Reservdelar</t>
  </si>
  <si>
    <t>P-111</t>
  </si>
  <si>
    <t>Tätningskit TK-9</t>
  </si>
  <si>
    <t>P-112</t>
  </si>
  <si>
    <t>Packningssats PS-3</t>
  </si>
  <si>
    <t>Kundkod</t>
  </si>
  <si>
    <t>Kund</t>
  </si>
  <si>
    <t>Land</t>
  </si>
  <si>
    <t>Segment</t>
  </si>
  <si>
    <t>K-01</t>
  </si>
  <si>
    <t>Volvo Lastvagnar</t>
  </si>
  <si>
    <t>Sverige</t>
  </si>
  <si>
    <t>OEM</t>
  </si>
  <si>
    <t>K-02</t>
  </si>
  <si>
    <t>Scania CV</t>
  </si>
  <si>
    <t>K-03</t>
  </si>
  <si>
    <t>Kongsberg Automotive</t>
  </si>
  <si>
    <t>Norge</t>
  </si>
  <si>
    <t>K-04</t>
  </si>
  <si>
    <t>Danfoss A/S</t>
  </si>
  <si>
    <t>Danmark</t>
  </si>
  <si>
    <t>K-05</t>
  </si>
  <si>
    <t>Wärtsilä</t>
  </si>
  <si>
    <t>Finland</t>
  </si>
  <si>
    <t>K-06</t>
  </si>
  <si>
    <t>Bosch Rexroth</t>
  </si>
  <si>
    <t>Tyskland</t>
  </si>
  <si>
    <t>K-07</t>
  </si>
  <si>
    <t>Hydraul-Service AB</t>
  </si>
  <si>
    <t>Återförsäljare</t>
  </si>
  <si>
    <t>K-08</t>
  </si>
  <si>
    <t>Nordic Parts AS</t>
  </si>
  <si>
    <t>K-09</t>
  </si>
  <si>
    <t>Maskin &amp; Verktyg</t>
  </si>
  <si>
    <t>Slutkund</t>
  </si>
  <si>
    <t>K-10</t>
  </si>
  <si>
    <t>Industrikomponenter</t>
  </si>
  <si>
    <t>Min antal</t>
  </si>
  <si>
    <t>Rabattsats</t>
  </si>
  <si>
    <t>OrderID</t>
  </si>
  <si>
    <t>Datum</t>
  </si>
  <si>
    <t>Månad</t>
  </si>
  <si>
    <t>Antal</t>
  </si>
  <si>
    <t>Intäkt</t>
  </si>
  <si>
    <t>O-10044</t>
  </si>
  <si>
    <t>2026-01</t>
  </si>
  <si>
    <t>O-10131</t>
  </si>
  <si>
    <t>O-10237</t>
  </si>
  <si>
    <t>O-10241</t>
  </si>
  <si>
    <t>O-10276</t>
  </si>
  <si>
    <t>O-10154</t>
  </si>
  <si>
    <t>O-10184</t>
  </si>
  <si>
    <t>O-10058</t>
  </si>
  <si>
    <t>O-10188</t>
  </si>
  <si>
    <t>O-10109</t>
  </si>
  <si>
    <t>O-10196</t>
  </si>
  <si>
    <t>O-10082</t>
  </si>
  <si>
    <t>O-10251</t>
  </si>
  <si>
    <t>O-10305</t>
  </si>
  <si>
    <t>O-10320</t>
  </si>
  <si>
    <t>O-10125</t>
  </si>
  <si>
    <t>O-10075</t>
  </si>
  <si>
    <t>O-10316</t>
  </si>
  <si>
    <t>O-10034</t>
  </si>
  <si>
    <t>O-10060</t>
  </si>
  <si>
    <t>O-10309</t>
  </si>
  <si>
    <t>O-10330</t>
  </si>
  <si>
    <t>O-10020</t>
  </si>
  <si>
    <t>O-10336</t>
  </si>
  <si>
    <t>O-10144</t>
  </si>
  <si>
    <t>O-10191</t>
  </si>
  <si>
    <t>O-10247</t>
  </si>
  <si>
    <t>O-10086</t>
  </si>
  <si>
    <t>O-10257</t>
  </si>
  <si>
    <t>O-10140</t>
  </si>
  <si>
    <t>O-10115</t>
  </si>
  <si>
    <t>O-10233</t>
  </si>
  <si>
    <t>K-99</t>
  </si>
  <si>
    <t>O-10318</t>
  </si>
  <si>
    <t>O-10026</t>
  </si>
  <si>
    <t>O-10153</t>
  </si>
  <si>
    <t>O-10215</t>
  </si>
  <si>
    <t>O-10091</t>
  </si>
  <si>
    <t>O-10112</t>
  </si>
  <si>
    <t>O-10098</t>
  </si>
  <si>
    <t>O-10025</t>
  </si>
  <si>
    <t>O-10161</t>
  </si>
  <si>
    <t>O-10219</t>
  </si>
  <si>
    <t>K-88</t>
  </si>
  <si>
    <t>O-10150</t>
  </si>
  <si>
    <t>O-10267</t>
  </si>
  <si>
    <t>O-10293</t>
  </si>
  <si>
    <t>O-10021</t>
  </si>
  <si>
    <t>O-10202</t>
  </si>
  <si>
    <t>O-10266</t>
  </si>
  <si>
    <t>O-10296</t>
  </si>
  <si>
    <t>O-10236</t>
  </si>
  <si>
    <t>O-10277</t>
  </si>
  <si>
    <t>O-10178</t>
  </si>
  <si>
    <t>O-10275</t>
  </si>
  <si>
    <t>O-10284</t>
  </si>
  <si>
    <t>O-10170</t>
  </si>
  <si>
    <t>O-10132</t>
  </si>
  <si>
    <t>2026-02</t>
  </si>
  <si>
    <t>O-10183</t>
  </si>
  <si>
    <t>O-10015</t>
  </si>
  <si>
    <t>O-10028</t>
  </si>
  <si>
    <t>O-10313</t>
  </si>
  <si>
    <t>O-10071</t>
  </si>
  <si>
    <t>O-10175</t>
  </si>
  <si>
    <t>O-10333</t>
  </si>
  <si>
    <t>O-10093</t>
  </si>
  <si>
    <t>O-10138</t>
  </si>
  <si>
    <t>O-10244</t>
  </si>
  <si>
    <t>O-10344</t>
  </si>
  <si>
    <t>O-10005</t>
  </si>
  <si>
    <t>O-10032</t>
  </si>
  <si>
    <t>O-10225</t>
  </si>
  <si>
    <t>O-10271</t>
  </si>
  <si>
    <t>O-10067</t>
  </si>
  <si>
    <t>O-10166</t>
  </si>
  <si>
    <t>O-10331</t>
  </si>
  <si>
    <t>O-10024</t>
  </si>
  <si>
    <t>O-10056</t>
  </si>
  <si>
    <t>O-10103</t>
  </si>
  <si>
    <t>O-10181</t>
  </si>
  <si>
    <t>O-10339</t>
  </si>
  <si>
    <t>O-10157</t>
  </si>
  <si>
    <t>O-10222</t>
  </si>
  <si>
    <t>O-10285</t>
  </si>
  <si>
    <t>O-10041</t>
  </si>
  <si>
    <t>O-10094</t>
  </si>
  <si>
    <t>O-10174</t>
  </si>
  <si>
    <t>O-10209</t>
  </si>
  <si>
    <t>O-10080</t>
  </si>
  <si>
    <t>O-10148</t>
  </si>
  <si>
    <t>O-10238</t>
  </si>
  <si>
    <t>O-10242</t>
  </si>
  <si>
    <t>O-10250</t>
  </si>
  <si>
    <t>O-10270</t>
  </si>
  <si>
    <t>O-10003</t>
  </si>
  <si>
    <t>O-10033</t>
  </si>
  <si>
    <t>O-10139</t>
  </si>
  <si>
    <t>O-10273</t>
  </si>
  <si>
    <t>O-10300</t>
  </si>
  <si>
    <t>O-10327</t>
  </si>
  <si>
    <t>O-10205</t>
  </si>
  <si>
    <t>O-10291</t>
  </si>
  <si>
    <t>O-10345</t>
  </si>
  <si>
    <t>O-10105</t>
  </si>
  <si>
    <t>O-10212</t>
  </si>
  <si>
    <t>O-10057</t>
  </si>
  <si>
    <t>O-10143</t>
  </si>
  <si>
    <t>O-10179</t>
  </si>
  <si>
    <t>O-10314</t>
  </si>
  <si>
    <t>O-10012</t>
  </si>
  <si>
    <t>O-10171</t>
  </si>
  <si>
    <t>O-10159</t>
  </si>
  <si>
    <t>O-10195</t>
  </si>
  <si>
    <t>O-10263</t>
  </si>
  <si>
    <t>O-10329</t>
  </si>
  <si>
    <t>O-10187</t>
  </si>
  <si>
    <t>O-10213</t>
  </si>
  <si>
    <t>O-10168</t>
  </si>
  <si>
    <t>O-10027</t>
  </si>
  <si>
    <t>O-10177</t>
  </si>
  <si>
    <t>O-10279</t>
  </si>
  <si>
    <t>O-10287</t>
  </si>
  <si>
    <t>O-10087</t>
  </si>
  <si>
    <t>O-10156</t>
  </si>
  <si>
    <t>O-10246</t>
  </si>
  <si>
    <t>O-10248</t>
  </si>
  <si>
    <t>O-10289</t>
  </si>
  <si>
    <t>O-10055</t>
  </si>
  <si>
    <t>O-10264</t>
  </si>
  <si>
    <t>O-10322</t>
  </si>
  <si>
    <t>2026-03</t>
  </si>
  <si>
    <t>O-10256</t>
  </si>
  <si>
    <t>O-10282</t>
  </si>
  <si>
    <t>K-77</t>
  </si>
  <si>
    <t>O-10268</t>
  </si>
  <si>
    <t>O-10009</t>
  </si>
  <si>
    <t>O-10260</t>
  </si>
  <si>
    <t>O-10036</t>
  </si>
  <si>
    <t>O-10108</t>
  </si>
  <si>
    <t>O-10134</t>
  </si>
  <si>
    <t>O-10146</t>
  </si>
  <si>
    <t>O-10037</t>
  </si>
  <si>
    <t>O-10046</t>
  </si>
  <si>
    <t>O-10095</t>
  </si>
  <si>
    <t>O-10343</t>
  </si>
  <si>
    <t>O-10262</t>
  </si>
  <si>
    <t>O-10092</t>
  </si>
  <si>
    <t>O-10164</t>
  </si>
  <si>
    <t>O-10325</t>
  </si>
  <si>
    <t>O-10176</t>
  </si>
  <si>
    <t>O-10135</t>
  </si>
  <si>
    <t>O-10259</t>
  </si>
  <si>
    <t>O-10078</t>
  </si>
  <si>
    <t>O-10235</t>
  </si>
  <si>
    <t>O-10294</t>
  </si>
  <si>
    <t>O-10008</t>
  </si>
  <si>
    <t>O-10069</t>
  </si>
  <si>
    <t>O-10141</t>
  </si>
  <si>
    <t>O-10249</t>
  </si>
  <si>
    <t>O-10319</t>
  </si>
  <si>
    <t>O-10200</t>
  </si>
  <si>
    <t>O-10040</t>
  </si>
  <si>
    <t>O-10130</t>
  </si>
  <si>
    <t>O-10207</t>
  </si>
  <si>
    <t>O-10281</t>
  </si>
  <si>
    <t>O-10100</t>
  </si>
  <si>
    <t>O-10101</t>
  </si>
  <si>
    <t>O-10145</t>
  </si>
  <si>
    <t>O-10182</t>
  </si>
  <si>
    <t>O-10229</t>
  </si>
  <si>
    <t>O-10210</t>
  </si>
  <si>
    <t>O-10038</t>
  </si>
  <si>
    <t>O-10338</t>
  </si>
  <si>
    <t>O-10063</t>
  </si>
  <si>
    <t>O-10119</t>
  </si>
  <si>
    <t>O-10081</t>
  </si>
  <si>
    <t>O-10096</t>
  </si>
  <si>
    <t>O-10116</t>
  </si>
  <si>
    <t>O-10118</t>
  </si>
  <si>
    <t>O-10269</t>
  </si>
  <si>
    <t>O-10158</t>
  </si>
  <si>
    <t>O-10169</t>
  </si>
  <si>
    <t>O-10258</t>
  </si>
  <si>
    <t>O-10292</t>
  </si>
  <si>
    <t>O-10136</t>
  </si>
  <si>
    <t>O-10142</t>
  </si>
  <si>
    <t>O-10194</t>
  </si>
  <si>
    <t>O-10022</t>
  </si>
  <si>
    <t>2026-04</t>
  </si>
  <si>
    <t>O-10149</t>
  </si>
  <si>
    <t>O-10002</t>
  </si>
  <si>
    <t>O-10189</t>
  </si>
  <si>
    <t>O-10065</t>
  </si>
  <si>
    <t>O-10216</t>
  </si>
  <si>
    <t>O-10054</t>
  </si>
  <si>
    <t>O-10106</t>
  </si>
  <si>
    <t>O-10107</t>
  </si>
  <si>
    <t>O-10147</t>
  </si>
  <si>
    <t>O-10350</t>
  </si>
  <si>
    <t>O-10004</t>
  </si>
  <si>
    <t>O-10128</t>
  </si>
  <si>
    <t>O-10162</t>
  </si>
  <si>
    <t>O-10192</t>
  </si>
  <si>
    <t>O-10185</t>
  </si>
  <si>
    <t>O-10199</t>
  </si>
  <si>
    <t>O-10186</t>
  </si>
  <si>
    <t>O-10204</t>
  </si>
  <si>
    <t>O-10097</t>
  </si>
  <si>
    <t>O-10122</t>
  </si>
  <si>
    <t>O-10335</t>
  </si>
  <si>
    <t>O-10342</t>
  </si>
  <si>
    <t>O-10068</t>
  </si>
  <si>
    <t>O-10114</t>
  </si>
  <si>
    <t>O-10045</t>
  </si>
  <si>
    <t>O-10110</t>
  </si>
  <si>
    <t>O-10180</t>
  </si>
  <si>
    <t>O-10211</t>
  </si>
  <si>
    <t>O-10307</t>
  </si>
  <si>
    <t>O-10102</t>
  </si>
  <si>
    <t>O-10231</t>
  </si>
  <si>
    <t>O-10286</t>
  </si>
  <si>
    <t>O-10126</t>
  </si>
  <si>
    <t>O-10280</t>
  </si>
  <si>
    <t>O-10104</t>
  </si>
  <si>
    <t>O-10326</t>
  </si>
  <si>
    <t>O-10016</t>
  </si>
  <si>
    <t>O-10029</t>
  </si>
  <si>
    <t>O-10049</t>
  </si>
  <si>
    <t>O-10072</t>
  </si>
  <si>
    <t>O-10120</t>
  </si>
  <si>
    <t>O-10221</t>
  </si>
  <si>
    <t>O-10348</t>
  </si>
  <si>
    <t>O-10297</t>
  </si>
  <si>
    <t>O-10001</t>
  </si>
  <si>
    <t>O-10278</t>
  </si>
  <si>
    <t>O-10349</t>
  </si>
  <si>
    <t>O-10206</t>
  </si>
  <si>
    <t>O-10254</t>
  </si>
  <si>
    <t>O-10172</t>
  </si>
  <si>
    <t>O-10214</t>
  </si>
  <si>
    <t>O-10274</t>
  </si>
  <si>
    <t>O-10301</t>
  </si>
  <si>
    <t>O-10347</t>
  </si>
  <si>
    <t>O-10151</t>
  </si>
  <si>
    <t>O-10228</t>
  </si>
  <si>
    <t>O-10283</t>
  </si>
  <si>
    <t>O-10321</t>
  </si>
  <si>
    <t>O-10088</t>
  </si>
  <si>
    <t>O-10324</t>
  </si>
  <si>
    <t>O-10340</t>
  </si>
  <si>
    <t>O-10208</t>
  </si>
  <si>
    <t>2026-05</t>
  </si>
  <si>
    <t>O-10310</t>
  </si>
  <si>
    <t>O-10070</t>
  </si>
  <si>
    <t>O-10117</t>
  </si>
  <si>
    <t>O-10230</t>
  </si>
  <si>
    <t>O-10234</t>
  </si>
  <si>
    <t>O-10193</t>
  </si>
  <si>
    <t>O-10050</t>
  </si>
  <si>
    <t>O-10062</t>
  </si>
  <si>
    <t>O-10090</t>
  </si>
  <si>
    <t>O-10299</t>
  </si>
  <si>
    <t>O-10007</t>
  </si>
  <si>
    <t>O-10290</t>
  </si>
  <si>
    <t>O-10165</t>
  </si>
  <si>
    <t>O-10261</t>
  </si>
  <si>
    <t>O-10328</t>
  </si>
  <si>
    <t>O-10099</t>
  </si>
  <si>
    <t>O-10337</t>
  </si>
  <si>
    <t>O-10163</t>
  </si>
  <si>
    <t>O-10197</t>
  </si>
  <si>
    <t>O-10043</t>
  </si>
  <si>
    <t>O-10243</t>
  </si>
  <si>
    <t>O-10255</t>
  </si>
  <si>
    <t>O-10077</t>
  </si>
  <si>
    <t>O-10133</t>
  </si>
  <si>
    <t>O-10017</t>
  </si>
  <si>
    <t>O-10160</t>
  </si>
  <si>
    <t>O-10066</t>
  </si>
  <si>
    <t>O-10218</t>
  </si>
  <si>
    <t>O-10167</t>
  </si>
  <si>
    <t>O-10302</t>
  </si>
  <si>
    <t>O-10035</t>
  </si>
  <si>
    <t>O-10217</t>
  </si>
  <si>
    <t>O-10053</t>
  </si>
  <si>
    <t>O-10111</t>
  </si>
  <si>
    <t>O-10137</t>
  </si>
  <si>
    <t>O-10239</t>
  </si>
  <si>
    <t>O-10272</t>
  </si>
  <si>
    <t>O-10019</t>
  </si>
  <si>
    <t>O-10240</t>
  </si>
  <si>
    <t>O-10048</t>
  </si>
  <si>
    <t>O-10203</t>
  </si>
  <si>
    <t>O-10304</t>
  </si>
  <si>
    <t>O-10018</t>
  </si>
  <si>
    <t>O-10121</t>
  </si>
  <si>
    <t>O-10152</t>
  </si>
  <si>
    <t>O-10173</t>
  </si>
  <si>
    <t>O-10073</t>
  </si>
  <si>
    <t>O-10084</t>
  </si>
  <si>
    <t>2026-06</t>
  </si>
  <si>
    <t>O-10089</t>
  </si>
  <si>
    <t>O-10113</t>
  </si>
  <si>
    <t>O-10295</t>
  </si>
  <si>
    <t>O-10303</t>
  </si>
  <si>
    <t>O-10201</t>
  </si>
  <si>
    <t>O-10085</t>
  </si>
  <si>
    <t>O-10226</t>
  </si>
  <si>
    <t>O-10076</t>
  </si>
  <si>
    <t>O-10265</t>
  </si>
  <si>
    <t>O-10010</t>
  </si>
  <si>
    <t>O-10083</t>
  </si>
  <si>
    <t>O-10323</t>
  </si>
  <si>
    <t>O-10198</t>
  </si>
  <si>
    <t>O-10223</t>
  </si>
  <si>
    <t>O-10232</t>
  </si>
  <si>
    <t>O-10317</t>
  </si>
  <si>
    <t>O-10014</t>
  </si>
  <si>
    <t>O-10252</t>
  </si>
  <si>
    <t>O-10039</t>
  </si>
  <si>
    <t>O-10227</t>
  </si>
  <si>
    <t>O-10306</t>
  </si>
  <si>
    <t>O-10315</t>
  </si>
  <si>
    <t>O-10030</t>
  </si>
  <si>
    <t>O-10079</t>
  </si>
  <si>
    <t>O-10129</t>
  </si>
  <si>
    <t>O-10006</t>
  </si>
  <si>
    <t>O-10245</t>
  </si>
  <si>
    <t>O-10052</t>
  </si>
  <si>
    <t>O-10311</t>
  </si>
  <si>
    <t>O-10127</t>
  </si>
  <si>
    <t>O-10155</t>
  </si>
  <si>
    <t>O-10253</t>
  </si>
  <si>
    <t>O-10123</t>
  </si>
  <si>
    <t>O-10220</t>
  </si>
  <si>
    <t>O-10023</t>
  </si>
  <si>
    <t>O-10042</t>
  </si>
  <si>
    <t>O-10074</t>
  </si>
  <si>
    <t>O-10011</t>
  </si>
  <si>
    <t>O-10064</t>
  </si>
  <si>
    <t>O-10031</t>
  </si>
  <si>
    <t>O-10224</t>
  </si>
  <si>
    <t>O-10312</t>
  </si>
  <si>
    <t>O-10341</t>
  </si>
  <si>
    <t>O-10059</t>
  </si>
  <si>
    <t>O-10013</t>
  </si>
  <si>
    <t>O-10051</t>
  </si>
  <si>
    <t>O-10124</t>
  </si>
  <si>
    <t>O-10298</t>
  </si>
  <si>
    <t>O-10334</t>
  </si>
  <si>
    <t>O-10346</t>
  </si>
  <si>
    <t>O-10047</t>
  </si>
  <si>
    <t>O-10190</t>
  </si>
  <si>
    <t>O-10061</t>
  </si>
  <si>
    <t>O-10288</t>
  </si>
  <si>
    <t>O-10308</t>
  </si>
  <si>
    <t>O-10332</t>
  </si>
  <si>
    <t>Beräkningar</t>
  </si>
  <si>
    <t>TB</t>
  </si>
  <si>
    <t>Total intäkt</t>
  </si>
  <si>
    <t>kr</t>
  </si>
  <si>
    <t>Totalt TB</t>
  </si>
  <si>
    <t>TB-marginal</t>
  </si>
  <si>
    <t>av intäkt</t>
  </si>
  <si>
    <t>Antal order</t>
  </si>
  <si>
    <t>st</t>
  </si>
  <si>
    <t>Intäkt (kr)</t>
  </si>
  <si>
    <t>TB (kr)</t>
  </si>
  <si>
    <t>TB%</t>
  </si>
  <si>
    <t>Totalt</t>
  </si>
  <si>
    <t>Intäkt per produktkategori</t>
  </si>
  <si>
    <t>Andel intäkt</t>
  </si>
  <si>
    <t>Andel av total</t>
  </si>
  <si>
    <t>Nyckeltal – hela perioden</t>
  </si>
  <si>
    <t>Intäkt &amp; TB per månad</t>
  </si>
  <si>
    <t>Intäkt &amp; lönsamhet per kund</t>
  </si>
  <si>
    <t>Visualiseringar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</si>
</sst>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2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000000"/>
      <name val="Arial"/>
    </font>
    <font>
      <b/>
      <sz val="16"/>
      <color rgb="FF1F3864"/>
      <name val="Arial"/>
    </font>
    <font>
      <i/>
      <sz val="10"/>
      <color rgb="FF595959"/>
      <name val="Arial"/>
    </font>
    <font>
      <sz val="11"/>
      <name val="Arial"/>
    </font>
    <font>
      <b/>
      <sz val="12"/>
      <color rgb="FF1F3864"/>
      <name val="Arial"/>
    </font>
    <font>
      <b/>
      <sz val="11"/>
      <color theme="1"/>
      <name val="Calibri"/>
      <family val="2"/>
      <scheme val="minor"/>
    </font>
    <font>
      <b/>
      <sz val="10"/>
      <color rgb="FF1F3864"/>
      <name val="Calibri"/>
      <family val="2"/>
      <scheme val="minor"/>
    </font>
    <font>
      <sz val="8"/>
      <color rgb="FFAAAAAA"/>
      <name val="Calibri"/>
      <family val="2"/>
      <scheme val="minor"/>
    </font>
    <font>
      <b/>
      <sz val="9"/>
      <color rgb="FF666666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555555"/>
      <name val="Calibri"/>
      <family val="2"/>
      <scheme val="minor"/>
    </font>
    <font>
      <sz val="9"/>
      <color rgb="FF888888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1F3864"/>
      <name val="Calibri"/>
      <family val="2"/>
      <scheme val="minor"/>
    </font>
    <font>
      <b/>
      <sz val="14"/>
      <color rgb="FF1F6B2A"/>
      <name val="Calibri"/>
      <family val="2"/>
      <scheme val="minor"/>
    </font>
    <font>
      <b/>
      <sz val="14"/>
      <color rgb="FF1F3864"/>
      <name val="Calibri"/>
      <family val="2"/>
      <scheme val="minor"/>
    </font>
    <font>
      <b/>
      <sz val="14"/>
      <color rgb="FF8B451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A7A6E"/>
      </patternFill>
    </fill>
    <fill>
      <patternFill patternType="solid">
        <fgColor rgb="FF1F3864"/>
        <bgColor indexed="64"/>
      </patternFill>
    </fill>
    <fill>
      <patternFill patternType="solid">
        <fgColor rgb="FFEEF2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1F3864"/>
      </top>
      <bottom/>
      <diagonal/>
    </border>
    <border>
      <left/>
      <right/>
      <top style="thin">
        <color rgb="FF2E5FA3"/>
      </top>
      <bottom/>
      <diagonal/>
    </border>
    <border>
      <left/>
      <right/>
      <top style="thin">
        <color rgb="FFCCCCCC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1" fillId="3" borderId="0" xfId="0" applyNumberFormat="1" applyFont="1" applyFill="1" applyAlignment="1">
      <alignment horizontal="center" vertical="center" wrapText="1"/>
    </xf>
    <xf numFmtId="9" fontId="2" fillId="0" borderId="0" xfId="0" applyNumberFormat="1" applyFont="1"/>
    <xf numFmtId="9" fontId="0" fillId="0" borderId="0" xfId="0" applyNumberForma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NumberFormat="1"/>
    <xf numFmtId="0" fontId="7" fillId="0" borderId="0" xfId="0" applyFont="1"/>
    <xf numFmtId="0" fontId="0" fillId="5" borderId="0" xfId="0" applyFill="1" applyBorder="1" applyAlignment="1">
      <alignment vertical="center"/>
    </xf>
    <xf numFmtId="0" fontId="13" fillId="5" borderId="0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12" fillId="5" borderId="2" xfId="0" applyFont="1" applyFill="1" applyBorder="1" applyAlignment="1">
      <alignment horizontal="center"/>
    </xf>
    <xf numFmtId="0" fontId="0" fillId="5" borderId="2" xfId="0" applyFill="1" applyBorder="1"/>
    <xf numFmtId="0" fontId="0" fillId="5" borderId="0" xfId="0" applyFill="1" applyBorder="1"/>
    <xf numFmtId="0" fontId="13" fillId="5" borderId="0" xfId="0" applyFont="1" applyFill="1" applyBorder="1" applyAlignment="1">
      <alignment horizontal="center"/>
    </xf>
    <xf numFmtId="0" fontId="8" fillId="6" borderId="0" xfId="0" applyFont="1" applyFill="1"/>
    <xf numFmtId="0" fontId="16" fillId="6" borderId="0" xfId="0" applyFont="1" applyFill="1"/>
    <xf numFmtId="0" fontId="11" fillId="6" borderId="0" xfId="0" applyFont="1" applyFill="1" applyBorder="1" applyAlignment="1">
      <alignment horizontal="center"/>
    </xf>
    <xf numFmtId="3" fontId="11" fillId="6" borderId="0" xfId="0" applyNumberFormat="1" applyFont="1" applyFill="1" applyBorder="1" applyAlignment="1">
      <alignment horizontal="right"/>
    </xf>
    <xf numFmtId="165" fontId="11" fillId="6" borderId="0" xfId="0" applyNumberFormat="1" applyFont="1" applyFill="1" applyBorder="1" applyAlignment="1">
      <alignment horizontal="center"/>
    </xf>
    <xf numFmtId="0" fontId="11" fillId="5" borderId="0" xfId="0" applyFont="1" applyFill="1" applyBorder="1" applyAlignment="1">
      <alignment horizontal="center"/>
    </xf>
    <xf numFmtId="3" fontId="11" fillId="5" borderId="0" xfId="0" applyNumberFormat="1" applyFont="1" applyFill="1" applyBorder="1" applyAlignment="1">
      <alignment horizontal="right"/>
    </xf>
    <xf numFmtId="165" fontId="11" fillId="5" borderId="0" xfId="0" applyNumberFormat="1" applyFont="1" applyFill="1" applyBorder="1" applyAlignment="1">
      <alignment horizontal="center"/>
    </xf>
    <xf numFmtId="0" fontId="15" fillId="7" borderId="1" xfId="0" applyFont="1" applyFill="1" applyBorder="1"/>
    <xf numFmtId="3" fontId="15" fillId="7" borderId="1" xfId="0" applyNumberFormat="1" applyFont="1" applyFill="1" applyBorder="1" applyAlignment="1">
      <alignment horizontal="right"/>
    </xf>
    <xf numFmtId="165" fontId="15" fillId="7" borderId="1" xfId="0" applyNumberFormat="1" applyFont="1" applyFill="1" applyBorder="1" applyAlignment="1">
      <alignment horizontal="center"/>
    </xf>
    <xf numFmtId="0" fontId="11" fillId="6" borderId="0" xfId="0" applyFont="1" applyFill="1" applyBorder="1"/>
    <xf numFmtId="0" fontId="11" fillId="5" borderId="0" xfId="0" applyFont="1" applyFill="1" applyBorder="1"/>
    <xf numFmtId="0" fontId="0" fillId="7" borderId="1" xfId="0" applyFill="1" applyBorder="1"/>
    <xf numFmtId="0" fontId="14" fillId="4" borderId="3" xfId="0" applyFont="1" applyFill="1" applyBorder="1" applyAlignment="1">
      <alignment horizontal="center"/>
    </xf>
    <xf numFmtId="0" fontId="14" fillId="4" borderId="3" xfId="0" applyFont="1" applyFill="1" applyBorder="1"/>
    <xf numFmtId="0" fontId="0" fillId="6" borderId="0" xfId="0" applyFill="1"/>
    <xf numFmtId="0" fontId="0" fillId="4" borderId="0" xfId="0" applyFill="1" applyAlignment="1">
      <alignment vertical="center"/>
    </xf>
    <xf numFmtId="0" fontId="0" fillId="4" borderId="0" xfId="0" applyFill="1"/>
    <xf numFmtId="3" fontId="17" fillId="5" borderId="0" xfId="0" applyNumberFormat="1" applyFont="1" applyFill="1" applyBorder="1" applyAlignment="1">
      <alignment horizontal="center"/>
    </xf>
    <xf numFmtId="3" fontId="18" fillId="5" borderId="0" xfId="0" applyNumberFormat="1" applyFont="1" applyFill="1" applyBorder="1" applyAlignment="1">
      <alignment horizontal="center" vertical="center"/>
    </xf>
    <xf numFmtId="165" fontId="19" fillId="5" borderId="0" xfId="0" applyNumberFormat="1" applyFont="1" applyFill="1" applyBorder="1" applyAlignment="1">
      <alignment horizontal="center"/>
    </xf>
    <xf numFmtId="3" fontId="18" fillId="5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Intäkt och TB per månad (kr)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Intäkt</c:v>
          </c:tx>
          <c:spPr>
            <a:solidFill>
              <a:srgbClr val="2E5FA3"/>
            </a:solidFill>
            <a:ln>
              <a:noFill/>
            </a:ln>
            <a:effectLst/>
          </c:spPr>
          <c:invertIfNegative val="0"/>
          <c:cat>
            <c:strRef>
              <c:f>_Data!$A$2:$A$7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_Data!$B$2:$B$7</c:f>
              <c:numCache>
                <c:formatCode>General</c:formatCode>
                <c:ptCount val="6"/>
                <c:pt idx="0">
                  <c:v>28612365</c:v>
                </c:pt>
                <c:pt idx="1">
                  <c:v>46151745</c:v>
                </c:pt>
                <c:pt idx="2">
                  <c:v>23491020</c:v>
                </c:pt>
                <c:pt idx="3">
                  <c:v>23419075</c:v>
                </c:pt>
                <c:pt idx="4">
                  <c:v>12029355</c:v>
                </c:pt>
                <c:pt idx="5">
                  <c:v>32068775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2-4B08-8005-5937D355F8F8}"/>
            </c:ext>
          </c:extLst>
        </c:ser>
        <c:ser>
          <c:idx val="1"/>
          <c:order val="1"/>
          <c:tx>
            <c:v>TB</c:v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_Data!$A$2:$A$7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_Data!$C$2:$C$7</c:f>
              <c:numCache>
                <c:formatCode>General</c:formatCode>
                <c:ptCount val="6"/>
                <c:pt idx="0">
                  <c:v>10454806</c:v>
                </c:pt>
                <c:pt idx="1">
                  <c:v>17081122</c:v>
                </c:pt>
                <c:pt idx="2">
                  <c:v>8831371</c:v>
                </c:pt>
                <c:pt idx="3">
                  <c:v>8906976</c:v>
                </c:pt>
                <c:pt idx="4">
                  <c:v>4773868</c:v>
                </c:pt>
                <c:pt idx="5">
                  <c:v>11646733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82-4B08-8005-5937D355F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821824"/>
        <c:axId val="1734844864"/>
      </c:barChart>
      <c:catAx>
        <c:axId val="173482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34844864"/>
        <c:crosses val="autoZero"/>
        <c:auto val="1"/>
        <c:lblAlgn val="ctr"/>
        <c:lblOffset val="100"/>
        <c:noMultiLvlLbl val="0"/>
      </c:catAx>
      <c:valAx>
        <c:axId val="173484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3482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Intäkt per kategori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_Data!$F$1</c:f>
              <c:strCache>
                <c:ptCount val="1"/>
                <c:pt idx="0">
                  <c:v>Intäkt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v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_Data!$E$2:$E$5</c:f>
              <c:strCache>
                <c:ptCount val="4"/>
                <c:pt idx="0">
                  <c:v>Hydraulik</c:v>
                </c:pt>
                <c:pt idx="1">
                  <c:v>Montage</c:v>
                </c:pt>
                <c:pt idx="2">
                  <c:v>Elektronik</c:v>
                </c:pt>
                <c:pt idx="3">
                  <c:v>Reservdelar</c:v>
                </c:pt>
              </c:strCache>
            </c:strRef>
          </c:cat>
          <c:val>
            <c:numRef>
              <c:f>_Data!$F$2:$F$5</c:f>
              <c:numCache>
                <c:formatCode>General</c:formatCode>
                <c:ptCount val="4"/>
                <c:pt idx="0">
                  <c:v>62533300</c:v>
                </c:pt>
                <c:pt idx="1">
                  <c:v>9978470</c:v>
                </c:pt>
                <c:pt idx="2">
                  <c:v>89102270</c:v>
                </c:pt>
                <c:pt idx="3">
                  <c:v>4158295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F-4155-9DF8-D97094F46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130175</xdr:colOff>
      <xdr:row>41</xdr:row>
      <xdr:rowOff>142875</xdr:rowOff>
    </xdr:from>
    <xdr:to>
      <xdr:col>6</xdr:col>
      <xdr:colOff>317500</xdr:colOff>
      <xdr:row>57</xdr:row>
      <xdr:rowOff>15875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DEE3A5-5B53-B5E9-DA3A-773F64C05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571500</xdr:colOff>
      <xdr:row>41</xdr:row>
      <xdr:rowOff>142875</xdr:rowOff>
    </xdr:from>
    <xdr:to>
      <xdr:col>10</xdr:col>
      <xdr:colOff>0</xdr:colOff>
      <xdr:row>57</xdr:row>
      <xdr:rowOff>15875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2F90316-1869-2A8C-1876-C7FEA0C0D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rod" displayName="tblProd" ref="A1:E13">
  <autoFilter ref="A1:E13" xr:uid="{00000000-0009-0000-0100-000001000000}"/>
  <tableColumns count="5">
    <tableColumn id="1" xr3:uid="{00000000-0010-0000-0000-000001000000}" name="Produktkod"/>
    <tableColumn id="2" xr3:uid="{00000000-0010-0000-0000-000002000000}" name="Produktnamn"/>
    <tableColumn id="3" xr3:uid="{00000000-0010-0000-0000-000003000000}" name="Kategori"/>
    <tableColumn id="4" xr3:uid="{00000000-0010-0000-0000-000004000000}" name="Styckpris"/>
    <tableColumn id="5" xr3:uid="{00000000-0010-0000-0000-000005000000}" name="Självkostnad/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Kund" displayName="tblKund" ref="A1:D11">
  <autoFilter ref="A1:D11" xr:uid="{00000000-0009-0000-0100-000002000000}"/>
  <tableColumns count="4">
    <tableColumn id="1" xr3:uid="{00000000-0010-0000-0100-000001000000}" name="Kundkod"/>
    <tableColumn id="2" xr3:uid="{00000000-0010-0000-0100-000002000000}" name="Kund"/>
    <tableColumn id="3" xr3:uid="{00000000-0010-0000-0100-000003000000}" name="Land"/>
    <tableColumn id="4" xr3:uid="{00000000-0010-0000-0100-000004000000}" name="Seg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Rabatt" displayName="tblRabatt" ref="A1:B6">
  <autoFilter ref="A1:B6" xr:uid="{00000000-0009-0000-0100-000003000000}"/>
  <tableColumns count="2">
    <tableColumn id="1" xr3:uid="{00000000-0010-0000-0200-000001000000}" name="Min antal"/>
    <tableColumn id="2" xr3:uid="{00000000-0010-0000-0200-000002000000}" name="Rabattsa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Order" displayName="tblOrder" ref="A1:M351">
  <autoFilter ref="A1:M351" xr:uid="{00000000-0009-0000-0100-000004000000}"/>
  <tableColumns count="13">
    <tableColumn id="1" xr3:uid="{00000000-0010-0000-0300-000001000000}" name="OrderID"/>
    <tableColumn id="2" xr3:uid="{00000000-0010-0000-0300-000002000000}" name="Datum"/>
    <tableColumn id="3" xr3:uid="{00000000-0010-0000-0300-000003000000}" name="Månad"/>
    <tableColumn id="4" xr3:uid="{00000000-0010-0000-0300-000004000000}" name="Produktkod"/>
    <tableColumn id="5" xr3:uid="{00000000-0010-0000-0300-000005000000}" name="Kundkod"/>
    <tableColumn id="6" xr3:uid="{00000000-0010-0000-0300-000006000000}" name="Antal"/>
    <tableColumn id="7" xr3:uid="{00000000-0010-0000-0300-000007000000}" name="Produktnamn" dataDxfId="6">
      <calculatedColumnFormula>_xlfn.XLOOKUP(tblOrder[[#This Row],[Produktkod]], tblProd[Produktkod], tblProd[Produktnamn])</calculatedColumnFormula>
    </tableColumn>
    <tableColumn id="8" xr3:uid="{00000000-0010-0000-0300-000008000000}" name="Styckpris" dataDxfId="5">
      <calculatedColumnFormula>_xlfn.XLOOKUP(tblOrder[[#This Row],[Produktkod]], tblProd[Produktkod], tblProd[Styckpris])</calculatedColumnFormula>
    </tableColumn>
    <tableColumn id="9" xr3:uid="{00000000-0010-0000-0300-000009000000}" name="Självkostnad/st" dataDxfId="4">
      <calculatedColumnFormula>_xlfn.XLOOKUP(tblOrder[[#This Row],[Produktkod]], tblProd[Produktkod], tblProd[Självkostnad/st])</calculatedColumnFormula>
    </tableColumn>
    <tableColumn id="10" xr3:uid="{00000000-0010-0000-0300-00000A000000}" name="Kund" dataDxfId="3">
      <calculatedColumnFormula>_xlfn.XLOOKUP(tblOrder[[#This Row],[Kundkod]], tblKund[Kundkod], tblKund[Kund], "Okänd kund")</calculatedColumnFormula>
    </tableColumn>
    <tableColumn id="11" xr3:uid="{00000000-0010-0000-0300-00000B000000}" name="Intäkt" dataDxfId="2">
      <calculatedColumnFormula>tblOrder[[#This Row],[Antal]]*tblOrder[[#This Row],[Styckpris]]</calculatedColumnFormula>
    </tableColumn>
    <tableColumn id="12" xr3:uid="{00000000-0010-0000-0300-00000C000000}" name="Rabattsats" dataDxfId="1">
      <calculatedColumnFormula>_xlfn.XLOOKUP(tblOrder[[#This Row],[Antal]], tblRabatt[Min antal], tblRabatt[Rabattsats], , -1)</calculatedColumnFormula>
    </tableColumn>
    <tableColumn id="13" xr3:uid="{4B2457ED-A32C-4357-B93D-F7672C3FC6DC}" name="TB" dataDxfId="0">
      <calculatedColumnFormula>K2-F2*I2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9F42B7F-95D5-4C64-8004-AAF15839B825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1eb7c463-ca7e-4633-b4ea-06373ad3753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CD0B-1554-4F0E-85E6-71366917D5B4}">
  <sheetPr>
    <tabColor rgb="FF1F3864"/>
  </sheetPr>
  <dimension ref="A1:AF40"/>
  <sheetViews>
    <sheetView tabSelected="1" workbookViewId="0">
      <pane ySplit="1" topLeftCell="A2" activePane="bottomLeft" state="frozen"/>
      <selection pane="bottomLeft" activeCell="F17" sqref="F17"/>
    </sheetView>
  </sheetViews>
  <sheetFormatPr defaultRowHeight="15" x14ac:dyDescent="0.25"/>
  <cols>
    <col min="1" max="1" width="1.85546875" customWidth="1"/>
    <col min="2" max="2" width="26.7109375" customWidth="1"/>
    <col min="3" max="4" width="17.140625" customWidth="1"/>
    <col min="5" max="5" width="10.42578125" customWidth="1"/>
    <col min="6" max="7" width="21" customWidth="1"/>
    <col min="8" max="9" width="17.140625" customWidth="1"/>
    <col min="10" max="10" width="10.42578125" customWidth="1"/>
    <col min="11" max="11" width="14.28515625" customWidth="1"/>
    <col min="12" max="12" width="12.42578125" customWidth="1"/>
    <col min="13" max="13" width="1.85546875" customWidth="1"/>
    <col min="14" max="14" width="11.42578125" customWidth="1"/>
    <col min="15" max="17" width="1.85546875" customWidth="1"/>
    <col min="18" max="32" width="1.7109375" hidden="1" customWidth="1"/>
  </cols>
  <sheetData>
    <row r="1" spans="1:31" ht="36" customHeight="1" x14ac:dyDescent="0.25">
      <c r="A1" s="46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16" t="s">
        <v>447</v>
      </c>
    </row>
    <row r="2" spans="1:31" ht="9.9499999999999993" customHeigh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17" t="s">
        <v>85</v>
      </c>
      <c r="S2" s="17" t="s">
        <v>87</v>
      </c>
      <c r="T2" s="17" t="s">
        <v>448</v>
      </c>
      <c r="V2" s="17" t="s">
        <v>18</v>
      </c>
      <c r="W2" s="17" t="s">
        <v>87</v>
      </c>
      <c r="X2" s="17" t="s">
        <v>448</v>
      </c>
      <c r="Z2" s="17" t="s">
        <v>50</v>
      </c>
      <c r="AA2" s="17" t="s">
        <v>87</v>
      </c>
      <c r="AB2" s="17" t="s">
        <v>448</v>
      </c>
      <c r="AD2" s="17" t="s">
        <v>52</v>
      </c>
      <c r="AE2" s="17" t="s">
        <v>87</v>
      </c>
    </row>
    <row r="3" spans="1:31" ht="18" customHeight="1" x14ac:dyDescent="0.25">
      <c r="A3" s="29"/>
      <c r="B3" s="30" t="s">
        <v>463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18" t="s">
        <v>89</v>
      </c>
      <c r="S3" s="18">
        <f>SUMIFS(Order!K:K,Order!C:C,R3)</f>
        <v>28612365</v>
      </c>
      <c r="T3" s="18">
        <f>SUMIFS(Order!M:M,Order!C:C,R3)</f>
        <v>10454806</v>
      </c>
      <c r="V3" s="18" t="s">
        <v>23</v>
      </c>
      <c r="W3" s="18" cm="1">
        <f t="array" ref="W3">SUMPRODUCT((Produktregister!C2:C13=V3)*SUMIFS(Order!K:K,Order!D:D,Produktregister!A2:A13))</f>
        <v>62533300</v>
      </c>
      <c r="X3" s="18" cm="1">
        <f t="array" ref="X3">SUMPRODUCT((Produktregister!C2:C13=V3)*SUMIFS(Order!M:M,Order!D:D,Produktregister!A2:A13))</f>
        <v>23633000</v>
      </c>
      <c r="Z3" s="18" t="s">
        <v>54</v>
      </c>
      <c r="AA3" s="18">
        <f>SUMIFS(Order!K:K,Order!J:J,Z3)</f>
        <v>10235210</v>
      </c>
      <c r="AB3" s="18">
        <f>SUMIFS(Order!M:M,Order!J:J,Z3)</f>
        <v>3852085</v>
      </c>
      <c r="AD3" s="18" t="s">
        <v>56</v>
      </c>
      <c r="AE3" s="18" cm="1">
        <f t="array" ref="AE3">SUMPRODUCT((Kundregister!D2:D11=AD3)*SUMIFS(Order!K:K,Order!E:E,Kundregister!A2:A11))</f>
        <v>81809785</v>
      </c>
    </row>
    <row r="4" spans="1:31" ht="9.9499999999999993" customHeight="1" x14ac:dyDescent="0.25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18" t="s">
        <v>147</v>
      </c>
      <c r="S4" s="18">
        <f>SUMIFS(Order!K:K,Order!C:C,R4)</f>
        <v>46151745</v>
      </c>
      <c r="T4" s="18">
        <f>SUMIFS(Order!M:M,Order!C:C,R4)</f>
        <v>17081122</v>
      </c>
      <c r="V4" s="18" t="s">
        <v>30</v>
      </c>
      <c r="W4" s="18" cm="1">
        <f t="array" ref="W4">SUMPRODUCT((Produktregister!C2:C13=V4)*SUMIFS(Order!K:K,Order!D:D,Produktregister!A2:A13))</f>
        <v>9978470</v>
      </c>
      <c r="X4" s="18" cm="1">
        <f t="array" ref="X4">SUMPRODUCT((Produktregister!C2:C13=V4)*SUMIFS(Order!M:M,Order!D:D,Produktregister!A2:A13))</f>
        <v>4389835</v>
      </c>
      <c r="Z4" s="18" t="s">
        <v>58</v>
      </c>
      <c r="AA4" s="18">
        <f>SUMIFS(Order!K:K,Order!J:J,Z4)</f>
        <v>12039450</v>
      </c>
      <c r="AB4" s="18">
        <f>SUMIFS(Order!M:M,Order!J:J,Z4)</f>
        <v>4421140</v>
      </c>
      <c r="AD4" s="18" t="s">
        <v>73</v>
      </c>
      <c r="AE4" s="18" cm="1">
        <f t="array" ref="AE4">SUMPRODUCT((Kundregister!D2:D11=AD4)*SUMIFS(Order!K:K,Order!E:E,Kundregister!A2:A11))</f>
        <v>73528340</v>
      </c>
    </row>
    <row r="5" spans="1:31" ht="24" customHeight="1" x14ac:dyDescent="0.25">
      <c r="A5" s="45"/>
      <c r="B5" s="23" t="s">
        <v>449</v>
      </c>
      <c r="C5" s="24"/>
      <c r="D5" s="24"/>
      <c r="E5" s="26"/>
      <c r="F5" s="25" t="s">
        <v>451</v>
      </c>
      <c r="G5" s="26"/>
      <c r="H5" s="26"/>
      <c r="I5" s="26"/>
      <c r="J5" s="25" t="s">
        <v>452</v>
      </c>
      <c r="K5" s="26"/>
      <c r="L5" s="26"/>
      <c r="M5" s="26"/>
      <c r="N5" s="25" t="s">
        <v>454</v>
      </c>
      <c r="O5" s="26"/>
      <c r="P5" s="26"/>
      <c r="Q5" s="26"/>
      <c r="R5" s="18" t="s">
        <v>220</v>
      </c>
      <c r="S5" s="18">
        <f>SUMIFS(Order!K:K,Order!C:C,R5)</f>
        <v>23491020</v>
      </c>
      <c r="T5" s="18">
        <f>SUMIFS(Order!M:M,Order!C:C,R5)</f>
        <v>8831371</v>
      </c>
      <c r="V5" s="18" t="s">
        <v>37</v>
      </c>
      <c r="W5" s="18" cm="1">
        <f t="array" ref="W5">SUMPRODUCT((Produktregister!C2:C13=V5)*SUMIFS(Order!K:K,Order!D:D,Produktregister!A2:A13))</f>
        <v>89102270</v>
      </c>
      <c r="X5" s="18" cm="1">
        <f t="array" ref="X5">SUMPRODUCT((Produktregister!C2:C13=V5)*SUMIFS(Order!M:M,Order!D:D,Produktregister!A2:A13))</f>
        <v>31739960</v>
      </c>
      <c r="Z5" s="18" t="s">
        <v>60</v>
      </c>
      <c r="AA5" s="18">
        <f>SUMIFS(Order!K:K,Order!J:J,Z5)</f>
        <v>15041280</v>
      </c>
      <c r="AB5" s="18">
        <f>SUMIFS(Order!M:M,Order!J:J,Z5)</f>
        <v>5776610</v>
      </c>
      <c r="AD5" s="18" t="s">
        <v>78</v>
      </c>
      <c r="AE5" s="18" cm="1">
        <f t="array" ref="AE5">SUMPRODUCT((Kundregister!D2:D11=AD5)*SUMIFS(Order!K:K,Order!E:E,Kundregister!A2:A11))</f>
        <v>5519330</v>
      </c>
    </row>
    <row r="6" spans="1:31" ht="27.95" customHeight="1" x14ac:dyDescent="0.3">
      <c r="A6" s="45"/>
      <c r="B6" s="49">
        <f>SUM(Order!K:K)</f>
        <v>165772335</v>
      </c>
      <c r="C6" s="21"/>
      <c r="D6" s="21"/>
      <c r="E6" s="27"/>
      <c r="F6" s="48">
        <f>SUM(Order!M:M)</f>
        <v>61694876</v>
      </c>
      <c r="G6" s="27"/>
      <c r="H6" s="27"/>
      <c r="I6" s="27"/>
      <c r="J6" s="50">
        <f>SUM(Order!M:M)/SUM(Order!K:K)</f>
        <v>0.37216629662603234</v>
      </c>
      <c r="K6" s="27"/>
      <c r="L6" s="27"/>
      <c r="M6" s="27"/>
      <c r="N6" s="51">
        <f>COUNTA(Order!A:A)-1</f>
        <v>350</v>
      </c>
      <c r="O6" s="27"/>
      <c r="P6" s="27"/>
      <c r="Q6" s="27"/>
      <c r="R6" s="18" t="s">
        <v>278</v>
      </c>
      <c r="S6" s="18">
        <f>SUMIFS(Order!K:K,Order!C:C,R6)</f>
        <v>23419075</v>
      </c>
      <c r="T6" s="18">
        <f>SUMIFS(Order!M:M,Order!C:C,R6)</f>
        <v>8906976</v>
      </c>
      <c r="V6" s="18" t="s">
        <v>44</v>
      </c>
      <c r="W6" s="18" cm="1">
        <f t="array" ref="W6">SUMPRODUCT((Produktregister!C2:C13=V6)*SUMIFS(Order!K:K,Order!D:D,Produktregister!A2:A13))</f>
        <v>4158295</v>
      </c>
      <c r="X6" s="18" cm="1">
        <f t="array" ref="X6">SUMPRODUCT((Produktregister!C2:C13=V6)*SUMIFS(Order!M:M,Order!D:D,Produktregister!A2:A13))</f>
        <v>1932081</v>
      </c>
      <c r="Z6" s="18" t="s">
        <v>63</v>
      </c>
      <c r="AA6" s="18">
        <f>SUMIFS(Order!K:K,Order!J:J,Z6)</f>
        <v>12123180</v>
      </c>
      <c r="AB6" s="18">
        <f>SUMIFS(Order!M:M,Order!J:J,Z6)</f>
        <v>4642356</v>
      </c>
    </row>
    <row r="7" spans="1:31" ht="18" customHeight="1" x14ac:dyDescent="0.25">
      <c r="A7" s="45"/>
      <c r="B7" s="22" t="s">
        <v>450</v>
      </c>
      <c r="C7" s="21"/>
      <c r="D7" s="21"/>
      <c r="E7" s="27"/>
      <c r="F7" s="28" t="s">
        <v>450</v>
      </c>
      <c r="G7" s="27"/>
      <c r="H7" s="27"/>
      <c r="I7" s="27"/>
      <c r="J7" s="28" t="s">
        <v>453</v>
      </c>
      <c r="K7" s="27"/>
      <c r="L7" s="27"/>
      <c r="M7" s="27"/>
      <c r="N7" s="28" t="s">
        <v>455</v>
      </c>
      <c r="O7" s="27"/>
      <c r="P7" s="27"/>
      <c r="Q7" s="27"/>
      <c r="R7" s="18" t="s">
        <v>341</v>
      </c>
      <c r="S7" s="18">
        <f>SUMIFS(Order!K:K,Order!C:C,R7)</f>
        <v>12029355</v>
      </c>
      <c r="T7" s="18">
        <f>SUMIFS(Order!M:M,Order!C:C,R7)</f>
        <v>4773868</v>
      </c>
      <c r="Z7" s="18" t="s">
        <v>66</v>
      </c>
      <c r="AA7" s="18">
        <f>SUMIFS(Order!K:K,Order!J:J,Z7)</f>
        <v>22773195</v>
      </c>
      <c r="AB7" s="18">
        <f>SUMIFS(Order!M:M,Order!J:J,Z7)</f>
        <v>8186484</v>
      </c>
    </row>
    <row r="8" spans="1:31" ht="9.9499999999999993" customHeigh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18" t="s">
        <v>390</v>
      </c>
      <c r="S8" s="18">
        <f>SUMIFS(Order!K:K,Order!C:C,R8)</f>
        <v>32068775</v>
      </c>
      <c r="T8" s="18">
        <f>SUMIFS(Order!M:M,Order!C:C,R8)</f>
        <v>11646733</v>
      </c>
      <c r="Z8" s="18" t="s">
        <v>69</v>
      </c>
      <c r="AA8" s="18">
        <f>SUMIFS(Order!K:K,Order!J:J,Z8)</f>
        <v>9597470</v>
      </c>
      <c r="AB8" s="18">
        <f>SUMIFS(Order!M:M,Order!J:J,Z8)</f>
        <v>3796647</v>
      </c>
    </row>
    <row r="9" spans="1:31" ht="9.9499999999999993" customHeight="1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Z9" s="18" t="s">
        <v>72</v>
      </c>
      <c r="AA9" s="18">
        <f>SUMIFS(Order!K:K,Order!J:J,Z9)</f>
        <v>35781475</v>
      </c>
      <c r="AB9" s="18">
        <f>SUMIFS(Order!M:M,Order!J:J,Z9)</f>
        <v>12821138</v>
      </c>
    </row>
    <row r="10" spans="1:31" ht="21.95" customHeight="1" x14ac:dyDescent="0.25">
      <c r="A10" s="45"/>
      <c r="B10" s="29" t="s">
        <v>464</v>
      </c>
      <c r="C10" s="45"/>
      <c r="D10" s="45"/>
      <c r="E10" s="45"/>
      <c r="F10" s="45"/>
      <c r="G10" s="29" t="s">
        <v>460</v>
      </c>
      <c r="H10" s="45"/>
      <c r="I10" s="45"/>
      <c r="J10" s="45"/>
      <c r="K10" s="45"/>
      <c r="L10" s="45"/>
      <c r="M10" s="45"/>
      <c r="N10" s="45"/>
      <c r="O10" s="45"/>
      <c r="P10" s="45"/>
      <c r="Q10" s="45"/>
      <c r="Z10" s="18" t="s">
        <v>75</v>
      </c>
      <c r="AA10" s="18">
        <f>SUMIFS(Order!K:K,Order!J:J,Z10)</f>
        <v>14375425</v>
      </c>
      <c r="AB10" s="18">
        <f>SUMIFS(Order!M:M,Order!J:J,Z10)</f>
        <v>5472796</v>
      </c>
    </row>
    <row r="11" spans="1:31" ht="20.100000000000001" customHeight="1" x14ac:dyDescent="0.25">
      <c r="A11" s="45"/>
      <c r="B11" s="43" t="s">
        <v>85</v>
      </c>
      <c r="C11" s="43" t="s">
        <v>456</v>
      </c>
      <c r="D11" s="43" t="s">
        <v>457</v>
      </c>
      <c r="E11" s="43" t="s">
        <v>458</v>
      </c>
      <c r="F11" s="45"/>
      <c r="G11" s="43" t="s">
        <v>18</v>
      </c>
      <c r="H11" s="43" t="s">
        <v>456</v>
      </c>
      <c r="I11" s="43" t="s">
        <v>457</v>
      </c>
      <c r="J11" s="43" t="s">
        <v>458</v>
      </c>
      <c r="K11" s="43" t="s">
        <v>461</v>
      </c>
      <c r="L11" s="45"/>
      <c r="M11" s="45"/>
      <c r="N11" s="45"/>
      <c r="O11" s="45"/>
      <c r="P11" s="45"/>
      <c r="Q11" s="45"/>
      <c r="Z11" s="18" t="s">
        <v>77</v>
      </c>
      <c r="AA11" s="18">
        <f>SUMIFS(Order!K:K,Order!J:J,Z11)</f>
        <v>5519330</v>
      </c>
      <c r="AB11" s="18">
        <f>SUMIFS(Order!M:M,Order!J:J,Z11)</f>
        <v>2234073</v>
      </c>
    </row>
    <row r="12" spans="1:31" ht="18" customHeight="1" x14ac:dyDescent="0.25">
      <c r="A12" s="45"/>
      <c r="B12" s="31" t="str">
        <f>R3</f>
        <v>2026-01</v>
      </c>
      <c r="C12" s="32">
        <f>S3</f>
        <v>28612365</v>
      </c>
      <c r="D12" s="32">
        <f>T3</f>
        <v>10454806</v>
      </c>
      <c r="E12" s="33">
        <f>T3/S3</f>
        <v>0.36539468163502037</v>
      </c>
      <c r="F12" s="45"/>
      <c r="G12" s="40" t="str">
        <f>V3</f>
        <v>Hydraulik</v>
      </c>
      <c r="H12" s="32">
        <f>W3</f>
        <v>62533300</v>
      </c>
      <c r="I12" s="32">
        <f>X3</f>
        <v>23633000</v>
      </c>
      <c r="J12" s="33">
        <f>X3/W3</f>
        <v>0.37792664068584259</v>
      </c>
      <c r="K12" s="33">
        <f>W3/SUM(W3:W6)</f>
        <v>0.37722398010500363</v>
      </c>
      <c r="L12" s="45"/>
      <c r="M12" s="45"/>
      <c r="N12" s="45"/>
      <c r="O12" s="45"/>
      <c r="P12" s="45"/>
      <c r="Q12" s="45"/>
      <c r="Z12" s="18" t="s">
        <v>80</v>
      </c>
      <c r="AA12" s="18">
        <f>SUMIFS(Order!K:K,Order!J:J,Z12)</f>
        <v>23371440</v>
      </c>
      <c r="AB12" s="18">
        <f>SUMIFS(Order!M:M,Order!J:J,Z12)</f>
        <v>8623788</v>
      </c>
    </row>
    <row r="13" spans="1:31" ht="18" customHeight="1" x14ac:dyDescent="0.25">
      <c r="A13" s="45"/>
      <c r="B13" s="34" t="str">
        <f>R4</f>
        <v>2026-02</v>
      </c>
      <c r="C13" s="35">
        <f>S4</f>
        <v>46151745</v>
      </c>
      <c r="D13" s="35">
        <f>T4</f>
        <v>17081122</v>
      </c>
      <c r="E13" s="36">
        <f>T4/S4</f>
        <v>0.37010782582543739</v>
      </c>
      <c r="F13" s="45"/>
      <c r="G13" s="41" t="str">
        <f>V4</f>
        <v>Montage</v>
      </c>
      <c r="H13" s="35">
        <f>W4</f>
        <v>9978470</v>
      </c>
      <c r="I13" s="35">
        <f>X4</f>
        <v>4389835</v>
      </c>
      <c r="J13" s="36">
        <f>X4/W4</f>
        <v>0.43993067073409048</v>
      </c>
      <c r="K13" s="36">
        <f>W4/SUM(W3:W6)</f>
        <v>6.0193819433140033E-2</v>
      </c>
      <c r="L13" s="45"/>
      <c r="M13" s="45"/>
      <c r="N13" s="45"/>
      <c r="O13" s="45"/>
      <c r="P13" s="45"/>
      <c r="Q13" s="45"/>
    </row>
    <row r="14" spans="1:31" ht="18" customHeight="1" x14ac:dyDescent="0.25">
      <c r="A14" s="45"/>
      <c r="B14" s="31" t="str">
        <f>R5</f>
        <v>2026-03</v>
      </c>
      <c r="C14" s="32">
        <f>S5</f>
        <v>23491020</v>
      </c>
      <c r="D14" s="32">
        <f>T5</f>
        <v>8831371</v>
      </c>
      <c r="E14" s="33">
        <f>T5/S5</f>
        <v>0.37594668090189359</v>
      </c>
      <c r="F14" s="45"/>
      <c r="G14" s="40" t="str">
        <f>V5</f>
        <v>Elektronik</v>
      </c>
      <c r="H14" s="32">
        <f>W5</f>
        <v>89102270</v>
      </c>
      <c r="I14" s="32">
        <f>X5</f>
        <v>31739960</v>
      </c>
      <c r="J14" s="33">
        <f>X5/W5</f>
        <v>0.35621943189550614</v>
      </c>
      <c r="K14" s="33">
        <f>W5/SUM(W3:W6)</f>
        <v>0.53749782796990819</v>
      </c>
      <c r="L14" s="45"/>
      <c r="M14" s="45"/>
      <c r="N14" s="45"/>
      <c r="O14" s="45"/>
      <c r="P14" s="45"/>
      <c r="Q14" s="45"/>
    </row>
    <row r="15" spans="1:31" ht="18" customHeight="1" x14ac:dyDescent="0.25">
      <c r="A15" s="45"/>
      <c r="B15" s="34" t="str">
        <f>R6</f>
        <v>2026-04</v>
      </c>
      <c r="C15" s="35">
        <f>S6</f>
        <v>23419075</v>
      </c>
      <c r="D15" s="35">
        <f>T6</f>
        <v>8906976</v>
      </c>
      <c r="E15" s="36">
        <f>T6/S6</f>
        <v>0.38032996606398844</v>
      </c>
      <c r="F15" s="45"/>
      <c r="G15" s="41" t="str">
        <f>V6</f>
        <v>Reservdelar</v>
      </c>
      <c r="H15" s="35">
        <f>W6</f>
        <v>4158295</v>
      </c>
      <c r="I15" s="35">
        <f>X6</f>
        <v>1932081</v>
      </c>
      <c r="J15" s="36">
        <f>X6/W6</f>
        <v>0.46463298058459057</v>
      </c>
      <c r="K15" s="36">
        <f>W6/SUM(W3:W6)</f>
        <v>2.508437249194807E-2</v>
      </c>
      <c r="L15" s="45"/>
      <c r="M15" s="45"/>
      <c r="N15" s="45"/>
      <c r="O15" s="45"/>
      <c r="P15" s="45"/>
      <c r="Q15" s="45"/>
    </row>
    <row r="16" spans="1:31" ht="18" customHeight="1" x14ac:dyDescent="0.25">
      <c r="A16" s="45"/>
      <c r="B16" s="31" t="str">
        <f>R7</f>
        <v>2026-05</v>
      </c>
      <c r="C16" s="32">
        <f>S7</f>
        <v>12029355</v>
      </c>
      <c r="D16" s="32">
        <f>T7</f>
        <v>4773868</v>
      </c>
      <c r="E16" s="33">
        <f>T7/S7</f>
        <v>0.39685153526519085</v>
      </c>
      <c r="F16" s="45"/>
      <c r="G16" s="37" t="s">
        <v>459</v>
      </c>
      <c r="H16" s="38">
        <f>SUM(H12:H15)</f>
        <v>165772335</v>
      </c>
      <c r="I16" s="38">
        <f>SUM(I12:I15)</f>
        <v>61694876</v>
      </c>
      <c r="J16" s="39">
        <f>I16/H16</f>
        <v>0.37216629662603234</v>
      </c>
      <c r="K16" s="39">
        <f>H16/H16</f>
        <v>1</v>
      </c>
      <c r="L16" s="45"/>
      <c r="M16" s="45"/>
      <c r="N16" s="45"/>
      <c r="O16" s="45"/>
      <c r="P16" s="45"/>
      <c r="Q16" s="45"/>
    </row>
    <row r="17" spans="1:17" ht="18" customHeight="1" x14ac:dyDescent="0.25">
      <c r="A17" s="45"/>
      <c r="B17" s="34" t="str">
        <f>R8</f>
        <v>2026-06</v>
      </c>
      <c r="C17" s="35">
        <f>S8</f>
        <v>32068775</v>
      </c>
      <c r="D17" s="35">
        <f>T8</f>
        <v>11646733</v>
      </c>
      <c r="E17" s="36">
        <f>T8/S8</f>
        <v>0.36317985329966612</v>
      </c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</row>
    <row r="18" spans="1:17" ht="18" customHeight="1" x14ac:dyDescent="0.25">
      <c r="A18" s="45"/>
      <c r="B18" s="37" t="s">
        <v>459</v>
      </c>
      <c r="C18" s="38">
        <f>SUM(C12:C17)</f>
        <v>165772335</v>
      </c>
      <c r="D18" s="38">
        <f>SUM(D12:D17)</f>
        <v>61694876</v>
      </c>
      <c r="E18" s="39">
        <f>D18/C18</f>
        <v>0.37216629662603234</v>
      </c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</row>
    <row r="19" spans="1:17" ht="9.9499999999999993" customHeight="1" x14ac:dyDescent="0.2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</row>
    <row r="20" spans="1:17" ht="9.9499999999999993" customHeight="1" x14ac:dyDescent="0.25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</row>
    <row r="21" spans="1:17" ht="21.95" customHeight="1" x14ac:dyDescent="0.25">
      <c r="A21" s="45"/>
      <c r="B21" s="29" t="s">
        <v>465</v>
      </c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</row>
    <row r="22" spans="1:17" ht="20.100000000000001" customHeight="1" x14ac:dyDescent="0.25">
      <c r="A22" s="45"/>
      <c r="B22" s="44" t="s">
        <v>50</v>
      </c>
      <c r="C22" s="43" t="s">
        <v>52</v>
      </c>
      <c r="D22" s="43" t="s">
        <v>456</v>
      </c>
      <c r="E22" s="43" t="s">
        <v>457</v>
      </c>
      <c r="F22" s="43" t="s">
        <v>458</v>
      </c>
      <c r="G22" s="43" t="s">
        <v>462</v>
      </c>
      <c r="H22" s="45"/>
      <c r="I22" s="45"/>
      <c r="J22" s="45"/>
      <c r="K22" s="45"/>
      <c r="L22" s="45"/>
      <c r="M22" s="45"/>
      <c r="N22" s="45"/>
      <c r="O22" s="45"/>
      <c r="P22" s="45"/>
      <c r="Q22" s="45"/>
    </row>
    <row r="23" spans="1:17" ht="18" customHeight="1" x14ac:dyDescent="0.25">
      <c r="A23" s="45"/>
      <c r="B23" s="40" t="str">
        <f>Z9</f>
        <v>Hydraul-Service AB</v>
      </c>
      <c r="C23" s="31" t="str">
        <f>VLOOKUP(B23,Kundregister!B:D,3,0)</f>
        <v>Återförsäljare</v>
      </c>
      <c r="D23" s="32">
        <f>AA9</f>
        <v>35781475</v>
      </c>
      <c r="E23" s="32">
        <f>AB9</f>
        <v>12821138</v>
      </c>
      <c r="F23" s="33">
        <f>AB9/AA9</f>
        <v>0.35831776079661332</v>
      </c>
      <c r="G23" s="33">
        <f>AA9/SUM(AA3:AA12)</f>
        <v>0.22244213051860109</v>
      </c>
      <c r="H23" s="45"/>
      <c r="I23" s="45"/>
      <c r="J23" s="45"/>
      <c r="K23" s="45"/>
      <c r="L23" s="45"/>
      <c r="M23" s="45"/>
      <c r="N23" s="45"/>
      <c r="O23" s="45"/>
      <c r="P23" s="45"/>
      <c r="Q23" s="45"/>
    </row>
    <row r="24" spans="1:17" ht="18" customHeight="1" x14ac:dyDescent="0.25">
      <c r="A24" s="45"/>
      <c r="B24" s="41" t="str">
        <f>Z7</f>
        <v>Wärtsilä</v>
      </c>
      <c r="C24" s="34" t="str">
        <f>VLOOKUP(B24,Kundregister!B:D,3,0)</f>
        <v>OEM</v>
      </c>
      <c r="D24" s="35">
        <f>AA7</f>
        <v>22773195</v>
      </c>
      <c r="E24" s="35">
        <f>AB7</f>
        <v>8186484</v>
      </c>
      <c r="F24" s="36">
        <f>AB7/AA7</f>
        <v>0.35947894004332726</v>
      </c>
      <c r="G24" s="36">
        <f>AA7/SUM(AA3:AA12)</f>
        <v>0.1415737616885708</v>
      </c>
      <c r="H24" s="45"/>
      <c r="I24" s="45"/>
      <c r="J24" s="45"/>
      <c r="K24" s="45"/>
      <c r="L24" s="45"/>
      <c r="M24" s="45"/>
      <c r="N24" s="45"/>
      <c r="O24" s="45"/>
      <c r="P24" s="45"/>
      <c r="Q24" s="45"/>
    </row>
    <row r="25" spans="1:17" ht="18" customHeight="1" x14ac:dyDescent="0.25">
      <c r="A25" s="45"/>
      <c r="B25" s="40" t="str">
        <f>Z12</f>
        <v>Industrikomponenter</v>
      </c>
      <c r="C25" s="31" t="str">
        <f>VLOOKUP(B25,Kundregister!B:D,3,0)</f>
        <v>Återförsäljare</v>
      </c>
      <c r="D25" s="32">
        <f>AA12</f>
        <v>23371440</v>
      </c>
      <c r="E25" s="32">
        <f>AB12</f>
        <v>8623788</v>
      </c>
      <c r="F25" s="33">
        <f>AB12/AA12</f>
        <v>0.36898830367320112</v>
      </c>
      <c r="G25" s="33">
        <f>AA12/SUM(AA3:AA12)</f>
        <v>0.14529286193170221</v>
      </c>
      <c r="H25" s="45"/>
      <c r="I25" s="45"/>
      <c r="J25" s="45"/>
      <c r="K25" s="45"/>
      <c r="L25" s="45"/>
      <c r="M25" s="45"/>
      <c r="N25" s="45"/>
      <c r="O25" s="45"/>
      <c r="P25" s="45"/>
      <c r="Q25" s="45"/>
    </row>
    <row r="26" spans="1:17" ht="18" customHeight="1" x14ac:dyDescent="0.25">
      <c r="A26" s="45"/>
      <c r="B26" s="41" t="str">
        <f>Z5</f>
        <v>Kongsberg Automotive</v>
      </c>
      <c r="C26" s="34" t="str">
        <f>VLOOKUP(B26,Kundregister!B:D,3,0)</f>
        <v>OEM</v>
      </c>
      <c r="D26" s="35">
        <f>AA5</f>
        <v>15041280</v>
      </c>
      <c r="E26" s="35">
        <f>AB5</f>
        <v>5776610</v>
      </c>
      <c r="F26" s="36">
        <f>AB5/AA5</f>
        <v>0.38405042655944177</v>
      </c>
      <c r="G26" s="36">
        <f>AA5/SUM(AA3:AA12)</f>
        <v>9.3506887821891746E-2</v>
      </c>
      <c r="H26" s="45"/>
      <c r="I26" s="45"/>
      <c r="J26" s="45"/>
      <c r="K26" s="45"/>
      <c r="L26" s="45"/>
      <c r="M26" s="45"/>
      <c r="N26" s="45"/>
      <c r="O26" s="45"/>
      <c r="P26" s="45"/>
      <c r="Q26" s="45"/>
    </row>
    <row r="27" spans="1:17" ht="18" customHeight="1" x14ac:dyDescent="0.25">
      <c r="A27" s="45"/>
      <c r="B27" s="40" t="str">
        <f>Z10</f>
        <v>Nordic Parts AS</v>
      </c>
      <c r="C27" s="31" t="str">
        <f>VLOOKUP(B27,Kundregister!B:D,3,0)</f>
        <v>Återförsäljare</v>
      </c>
      <c r="D27" s="32">
        <f>AA10</f>
        <v>14375425</v>
      </c>
      <c r="E27" s="32">
        <f>AB10</f>
        <v>5472796</v>
      </c>
      <c r="F27" s="33">
        <f>AB10/AA10</f>
        <v>0.38070498785253304</v>
      </c>
      <c r="G27" s="33">
        <f>AA10/SUM(AA3:AA12)</f>
        <v>8.9367477559557318E-2</v>
      </c>
      <c r="H27" s="45"/>
      <c r="I27" s="45"/>
      <c r="J27" s="45"/>
      <c r="K27" s="45"/>
      <c r="L27" s="45"/>
      <c r="M27" s="45"/>
      <c r="N27" s="45"/>
      <c r="O27" s="45"/>
      <c r="P27" s="45"/>
      <c r="Q27" s="45"/>
    </row>
    <row r="28" spans="1:17" ht="18" customHeight="1" x14ac:dyDescent="0.25">
      <c r="A28" s="45"/>
      <c r="B28" s="41" t="str">
        <f>Z6</f>
        <v>Danfoss A/S</v>
      </c>
      <c r="C28" s="34" t="str">
        <f>VLOOKUP(B28,Kundregister!B:D,3,0)</f>
        <v>OEM</v>
      </c>
      <c r="D28" s="35">
        <f>AA6</f>
        <v>12123180</v>
      </c>
      <c r="E28" s="35">
        <f>AB6</f>
        <v>4642356</v>
      </c>
      <c r="F28" s="36">
        <f>AB6/AA6</f>
        <v>0.38293220095717462</v>
      </c>
      <c r="G28" s="36">
        <f>AA6/SUM(AA3:AA12)</f>
        <v>7.536598163883669E-2</v>
      </c>
      <c r="H28" s="45"/>
      <c r="I28" s="45"/>
      <c r="J28" s="45"/>
      <c r="K28" s="45"/>
      <c r="L28" s="45"/>
      <c r="M28" s="45"/>
      <c r="N28" s="45"/>
      <c r="O28" s="45"/>
      <c r="P28" s="45"/>
      <c r="Q28" s="45"/>
    </row>
    <row r="29" spans="1:17" ht="18" customHeight="1" x14ac:dyDescent="0.25">
      <c r="A29" s="45"/>
      <c r="B29" s="40" t="str">
        <f>Z4</f>
        <v>Scania CV</v>
      </c>
      <c r="C29" s="31" t="str">
        <f>VLOOKUP(B29,Kundregister!B:D,3,0)</f>
        <v>OEM</v>
      </c>
      <c r="D29" s="32">
        <f>AA4</f>
        <v>12039450</v>
      </c>
      <c r="E29" s="32">
        <f>AB4</f>
        <v>4421140</v>
      </c>
      <c r="F29" s="33">
        <f>AB4/AA4</f>
        <v>0.36722109398685154</v>
      </c>
      <c r="G29" s="33">
        <f>AA4/SUM(AA3:AA12)</f>
        <v>7.4845458670224518E-2</v>
      </c>
      <c r="H29" s="45"/>
      <c r="I29" s="45"/>
      <c r="J29" s="45"/>
      <c r="K29" s="45"/>
      <c r="L29" s="45"/>
      <c r="M29" s="45"/>
      <c r="N29" s="45"/>
      <c r="O29" s="45"/>
      <c r="P29" s="45"/>
      <c r="Q29" s="45"/>
    </row>
    <row r="30" spans="1:17" ht="18" customHeight="1" x14ac:dyDescent="0.25">
      <c r="A30" s="45"/>
      <c r="B30" s="41" t="str">
        <f>Z3</f>
        <v>Volvo Lastvagnar</v>
      </c>
      <c r="C30" s="34" t="str">
        <f>VLOOKUP(B30,Kundregister!B:D,3,0)</f>
        <v>OEM</v>
      </c>
      <c r="D30" s="35">
        <f>AA3</f>
        <v>10235210</v>
      </c>
      <c r="E30" s="35">
        <f>AB3</f>
        <v>3852085</v>
      </c>
      <c r="F30" s="36">
        <f>AB3/AA3</f>
        <v>0.37635622522644868</v>
      </c>
      <c r="G30" s="36">
        <f>AA3/SUM(AA3:AA12)</f>
        <v>6.3629068357447277E-2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</row>
    <row r="31" spans="1:17" ht="18" customHeight="1" x14ac:dyDescent="0.25">
      <c r="A31" s="45"/>
      <c r="B31" s="40" t="str">
        <f>Z8</f>
        <v>Bosch Rexroth</v>
      </c>
      <c r="C31" s="31" t="str">
        <f>VLOOKUP(B31,Kundregister!B:D,3,0)</f>
        <v>OEM</v>
      </c>
      <c r="D31" s="32">
        <f>AA8</f>
        <v>9597470</v>
      </c>
      <c r="E31" s="32">
        <f>AB8</f>
        <v>3796647</v>
      </c>
      <c r="F31" s="33">
        <f>AB8/AA8</f>
        <v>0.39558831650424536</v>
      </c>
      <c r="G31" s="33">
        <f>AA8/SUM(AA3:AA12)</f>
        <v>5.9664440171579243E-2</v>
      </c>
      <c r="H31" s="45"/>
      <c r="I31" s="45"/>
      <c r="J31" s="45"/>
      <c r="K31" s="45"/>
      <c r="L31" s="45"/>
      <c r="M31" s="45"/>
      <c r="N31" s="45"/>
      <c r="O31" s="45"/>
      <c r="P31" s="45"/>
      <c r="Q31" s="45"/>
    </row>
    <row r="32" spans="1:17" ht="18" customHeight="1" x14ac:dyDescent="0.25">
      <c r="A32" s="45"/>
      <c r="B32" s="41" t="str">
        <f>Z11</f>
        <v>Maskin &amp; Verktyg</v>
      </c>
      <c r="C32" s="34" t="str">
        <f>VLOOKUP(B32,Kundregister!B:D,3,0)</f>
        <v>Slutkund</v>
      </c>
      <c r="D32" s="35">
        <f>AA11</f>
        <v>5519330</v>
      </c>
      <c r="E32" s="35">
        <f>AB11</f>
        <v>2234073</v>
      </c>
      <c r="F32" s="36">
        <f>AB11/AA11</f>
        <v>0.4047724995606351</v>
      </c>
      <c r="G32" s="36">
        <f>AA11/SUM(AA3:AA12)</f>
        <v>3.4311931641589133E-2</v>
      </c>
      <c r="H32" s="45"/>
      <c r="I32" s="45"/>
      <c r="J32" s="45"/>
      <c r="K32" s="45"/>
      <c r="L32" s="45"/>
      <c r="M32" s="45"/>
      <c r="N32" s="45"/>
      <c r="O32" s="45"/>
      <c r="P32" s="45"/>
      <c r="Q32" s="45"/>
    </row>
    <row r="33" spans="1:17" ht="18" customHeight="1" x14ac:dyDescent="0.25">
      <c r="A33" s="45"/>
      <c r="B33" s="37" t="s">
        <v>459</v>
      </c>
      <c r="C33" s="42"/>
      <c r="D33" s="38">
        <f>SUM(D23:D32)</f>
        <v>160857455</v>
      </c>
      <c r="E33" s="38">
        <f>SUM(E23:E32)</f>
        <v>59827117</v>
      </c>
      <c r="F33" s="39">
        <f>E33/D33</f>
        <v>0.37192629337570959</v>
      </c>
      <c r="G33" s="39">
        <f>SUM(G23:G32)</f>
        <v>1</v>
      </c>
      <c r="H33" s="45"/>
      <c r="I33" s="45"/>
      <c r="J33" s="45"/>
      <c r="K33" s="45"/>
      <c r="L33" s="45"/>
      <c r="M33" s="45"/>
      <c r="N33" s="45"/>
      <c r="O33" s="45"/>
      <c r="P33" s="45"/>
      <c r="Q33" s="45"/>
    </row>
    <row r="34" spans="1:17" x14ac:dyDescent="0.2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</row>
    <row r="35" spans="1:17" x14ac:dyDescent="0.2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</row>
    <row r="36" spans="1:17" x14ac:dyDescent="0.25">
      <c r="A36" s="45"/>
      <c r="B36" s="29" t="s">
        <v>466</v>
      </c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</row>
    <row r="37" spans="1:17" x14ac:dyDescent="0.2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</row>
    <row r="38" spans="1:17" x14ac:dyDescent="0.25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</row>
    <row r="39" spans="1:17" x14ac:dyDescent="0.2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</row>
    <row r="40" spans="1:17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</row>
  </sheetData>
  <mergeCells count="2">
    <mergeCell ref="A1:Q1"/>
    <mergeCell ref="B3:Q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workbookViewId="0">
      <selection activeCell="A2" sqref="A2"/>
    </sheetView>
  </sheetViews>
  <sheetFormatPr defaultRowHeight="15" x14ac:dyDescent="0.25"/>
  <cols>
    <col min="1" max="1" width="12" customWidth="1"/>
    <col min="2" max="2" width="26" customWidth="1"/>
    <col min="3" max="3" width="14" customWidth="1"/>
    <col min="4" max="4" width="12" customWidth="1"/>
    <col min="5" max="5" width="16" customWidth="1"/>
  </cols>
  <sheetData>
    <row r="1" spans="1: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25">
      <c r="A2" s="2" t="s">
        <v>21</v>
      </c>
      <c r="B2" s="2" t="s">
        <v>22</v>
      </c>
      <c r="C2" s="2" t="s">
        <v>23</v>
      </c>
      <c r="D2" s="3">
        <v>4500</v>
      </c>
      <c r="E2" s="3">
        <v>2800</v>
      </c>
    </row>
    <row r="3" spans="1:5" x14ac:dyDescent="0.25">
      <c r="A3" s="2" t="s">
        <v>24</v>
      </c>
      <c r="B3" s="2" t="s">
        <v>25</v>
      </c>
      <c r="C3" s="2" t="s">
        <v>23</v>
      </c>
      <c r="D3" s="3">
        <v>8900</v>
      </c>
      <c r="E3" s="3">
        <v>5600</v>
      </c>
    </row>
    <row r="4" spans="1:5" x14ac:dyDescent="0.25">
      <c r="A4" s="2" t="s">
        <v>26</v>
      </c>
      <c r="B4" s="2" t="s">
        <v>27</v>
      </c>
      <c r="C4" s="2" t="s">
        <v>23</v>
      </c>
      <c r="D4" s="3">
        <v>3200</v>
      </c>
      <c r="E4" s="3">
        <v>1950</v>
      </c>
    </row>
    <row r="5" spans="1:5" x14ac:dyDescent="0.25">
      <c r="A5" s="2" t="s">
        <v>28</v>
      </c>
      <c r="B5" s="2" t="s">
        <v>29</v>
      </c>
      <c r="C5" s="2" t="s">
        <v>30</v>
      </c>
      <c r="D5" s="3">
        <v>1250</v>
      </c>
      <c r="E5" s="3">
        <v>720</v>
      </c>
    </row>
    <row r="6" spans="1:5" x14ac:dyDescent="0.25">
      <c r="A6" s="2" t="s">
        <v>31</v>
      </c>
      <c r="B6" s="2" t="s">
        <v>32</v>
      </c>
      <c r="C6" s="2" t="s">
        <v>30</v>
      </c>
      <c r="D6" s="3">
        <v>480</v>
      </c>
      <c r="E6" s="3">
        <v>260</v>
      </c>
    </row>
    <row r="7" spans="1:5" x14ac:dyDescent="0.25">
      <c r="A7" s="2" t="s">
        <v>33</v>
      </c>
      <c r="B7" s="2" t="s">
        <v>34</v>
      </c>
      <c r="C7" s="2" t="s">
        <v>30</v>
      </c>
      <c r="D7" s="3">
        <v>320</v>
      </c>
      <c r="E7" s="3">
        <v>165</v>
      </c>
    </row>
    <row r="8" spans="1:5" x14ac:dyDescent="0.25">
      <c r="A8" s="2" t="s">
        <v>35</v>
      </c>
      <c r="B8" s="2" t="s">
        <v>36</v>
      </c>
      <c r="C8" s="2" t="s">
        <v>37</v>
      </c>
      <c r="D8" s="3">
        <v>12500</v>
      </c>
      <c r="E8" s="3">
        <v>8200</v>
      </c>
    </row>
    <row r="9" spans="1:5" x14ac:dyDescent="0.25">
      <c r="A9" s="2" t="s">
        <v>38</v>
      </c>
      <c r="B9" s="2" t="s">
        <v>39</v>
      </c>
      <c r="C9" s="2" t="s">
        <v>37</v>
      </c>
      <c r="D9" s="3">
        <v>2100</v>
      </c>
      <c r="E9" s="3">
        <v>1180</v>
      </c>
    </row>
    <row r="10" spans="1:5" x14ac:dyDescent="0.25">
      <c r="A10" s="2" t="s">
        <v>40</v>
      </c>
      <c r="B10" s="2" t="s">
        <v>41</v>
      </c>
      <c r="C10" s="2" t="s">
        <v>37</v>
      </c>
      <c r="D10" s="3">
        <v>890</v>
      </c>
      <c r="E10" s="3">
        <v>510</v>
      </c>
    </row>
    <row r="11" spans="1:5" x14ac:dyDescent="0.25">
      <c r="A11" s="2" t="s">
        <v>42</v>
      </c>
      <c r="B11" s="2" t="s">
        <v>43</v>
      </c>
      <c r="C11" s="2" t="s">
        <v>44</v>
      </c>
      <c r="D11" s="3">
        <v>650</v>
      </c>
      <c r="E11" s="3">
        <v>380</v>
      </c>
    </row>
    <row r="12" spans="1:5" x14ac:dyDescent="0.25">
      <c r="A12" s="2" t="s">
        <v>45</v>
      </c>
      <c r="B12" s="2" t="s">
        <v>46</v>
      </c>
      <c r="C12" s="2" t="s">
        <v>44</v>
      </c>
      <c r="D12" s="3">
        <v>210</v>
      </c>
      <c r="E12" s="3">
        <v>95</v>
      </c>
    </row>
    <row r="13" spans="1:5" x14ac:dyDescent="0.25">
      <c r="A13" s="2" t="s">
        <v>47</v>
      </c>
      <c r="B13" s="2" t="s">
        <v>48</v>
      </c>
      <c r="C13" s="2" t="s">
        <v>44</v>
      </c>
      <c r="D13" s="3">
        <v>145</v>
      </c>
      <c r="E13" s="3">
        <v>68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showGridLines="0" workbookViewId="0"/>
  </sheetViews>
  <sheetFormatPr defaultRowHeight="15" x14ac:dyDescent="0.25"/>
  <cols>
    <col min="1" max="1" width="12" customWidth="1"/>
    <col min="2" max="2" width="24" customWidth="1"/>
    <col min="3" max="3" width="14" customWidth="1"/>
    <col min="4" max="4" width="16" customWidth="1"/>
  </cols>
  <sheetData>
    <row r="1" spans="1:4" x14ac:dyDescent="0.25">
      <c r="A1" s="1" t="s">
        <v>49</v>
      </c>
      <c r="B1" s="1" t="s">
        <v>50</v>
      </c>
      <c r="C1" s="1" t="s">
        <v>51</v>
      </c>
      <c r="D1" s="1" t="s">
        <v>52</v>
      </c>
    </row>
    <row r="2" spans="1:4" x14ac:dyDescent="0.25">
      <c r="A2" s="2" t="s">
        <v>53</v>
      </c>
      <c r="B2" s="2" t="s">
        <v>54</v>
      </c>
      <c r="C2" s="2" t="s">
        <v>55</v>
      </c>
      <c r="D2" s="2" t="s">
        <v>56</v>
      </c>
    </row>
    <row r="3" spans="1:4" x14ac:dyDescent="0.25">
      <c r="A3" s="2" t="s">
        <v>57</v>
      </c>
      <c r="B3" s="2" t="s">
        <v>58</v>
      </c>
      <c r="C3" s="2" t="s">
        <v>55</v>
      </c>
      <c r="D3" s="2" t="s">
        <v>56</v>
      </c>
    </row>
    <row r="4" spans="1:4" x14ac:dyDescent="0.25">
      <c r="A4" s="2" t="s">
        <v>59</v>
      </c>
      <c r="B4" s="2" t="s">
        <v>60</v>
      </c>
      <c r="C4" s="2" t="s">
        <v>61</v>
      </c>
      <c r="D4" s="2" t="s">
        <v>56</v>
      </c>
    </row>
    <row r="5" spans="1:4" x14ac:dyDescent="0.25">
      <c r="A5" s="2" t="s">
        <v>62</v>
      </c>
      <c r="B5" s="2" t="s">
        <v>63</v>
      </c>
      <c r="C5" s="2" t="s">
        <v>64</v>
      </c>
      <c r="D5" s="2" t="s">
        <v>56</v>
      </c>
    </row>
    <row r="6" spans="1:4" x14ac:dyDescent="0.25">
      <c r="A6" s="2" t="s">
        <v>65</v>
      </c>
      <c r="B6" s="2" t="s">
        <v>66</v>
      </c>
      <c r="C6" s="2" t="s">
        <v>67</v>
      </c>
      <c r="D6" s="2" t="s">
        <v>56</v>
      </c>
    </row>
    <row r="7" spans="1:4" x14ac:dyDescent="0.25">
      <c r="A7" s="2" t="s">
        <v>68</v>
      </c>
      <c r="B7" s="2" t="s">
        <v>69</v>
      </c>
      <c r="C7" s="2" t="s">
        <v>70</v>
      </c>
      <c r="D7" s="2" t="s">
        <v>56</v>
      </c>
    </row>
    <row r="8" spans="1:4" x14ac:dyDescent="0.25">
      <c r="A8" s="2" t="s">
        <v>71</v>
      </c>
      <c r="B8" s="2" t="s">
        <v>72</v>
      </c>
      <c r="C8" s="2" t="s">
        <v>55</v>
      </c>
      <c r="D8" s="2" t="s">
        <v>73</v>
      </c>
    </row>
    <row r="9" spans="1:4" x14ac:dyDescent="0.25">
      <c r="A9" s="2" t="s">
        <v>74</v>
      </c>
      <c r="B9" s="2" t="s">
        <v>75</v>
      </c>
      <c r="C9" s="2" t="s">
        <v>61</v>
      </c>
      <c r="D9" s="2" t="s">
        <v>73</v>
      </c>
    </row>
    <row r="10" spans="1:4" x14ac:dyDescent="0.25">
      <c r="A10" s="2" t="s">
        <v>76</v>
      </c>
      <c r="B10" s="2" t="s">
        <v>77</v>
      </c>
      <c r="C10" s="2" t="s">
        <v>55</v>
      </c>
      <c r="D10" s="2" t="s">
        <v>78</v>
      </c>
    </row>
    <row r="11" spans="1:4" x14ac:dyDescent="0.25">
      <c r="A11" s="2" t="s">
        <v>79</v>
      </c>
      <c r="B11" s="2" t="s">
        <v>80</v>
      </c>
      <c r="C11" s="2" t="s">
        <v>55</v>
      </c>
      <c r="D11" s="2" t="s">
        <v>73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showGridLines="0" workbookViewId="0"/>
  </sheetViews>
  <sheetFormatPr defaultRowHeight="15" x14ac:dyDescent="0.25"/>
  <cols>
    <col min="1" max="2" width="14" customWidth="1"/>
  </cols>
  <sheetData>
    <row r="1" spans="1:2" x14ac:dyDescent="0.25">
      <c r="A1" s="1" t="s">
        <v>81</v>
      </c>
      <c r="B1" s="1" t="s">
        <v>82</v>
      </c>
    </row>
    <row r="2" spans="1:2" x14ac:dyDescent="0.25">
      <c r="A2" s="4">
        <v>0</v>
      </c>
      <c r="B2" s="5">
        <v>0</v>
      </c>
    </row>
    <row r="3" spans="1:2" x14ac:dyDescent="0.25">
      <c r="A3" s="4">
        <v>50</v>
      </c>
      <c r="B3" s="5">
        <v>0.03</v>
      </c>
    </row>
    <row r="4" spans="1:2" x14ac:dyDescent="0.25">
      <c r="A4" s="4">
        <v>100</v>
      </c>
      <c r="B4" s="5">
        <v>0.05</v>
      </c>
    </row>
    <row r="5" spans="1:2" x14ac:dyDescent="0.25">
      <c r="A5" s="4">
        <v>250</v>
      </c>
      <c r="B5" s="5">
        <v>0.08</v>
      </c>
    </row>
    <row r="6" spans="1:2" x14ac:dyDescent="0.25">
      <c r="A6" s="4">
        <v>500</v>
      </c>
      <c r="B6" s="5">
        <v>0.12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51"/>
  <sheetViews>
    <sheetView showGridLines="0" workbookViewId="0">
      <pane ySplit="1" topLeftCell="A2" activePane="bottomLeft" state="frozen"/>
      <selection pane="bottomLeft" activeCell="N9" sqref="N9"/>
    </sheetView>
  </sheetViews>
  <sheetFormatPr defaultRowHeight="15" x14ac:dyDescent="0.25"/>
  <cols>
    <col min="1" max="1" width="10" customWidth="1"/>
    <col min="2" max="2" width="12" customWidth="1"/>
    <col min="3" max="3" width="9" customWidth="1"/>
    <col min="4" max="4" width="12" customWidth="1"/>
    <col min="5" max="5" width="10" customWidth="1"/>
    <col min="6" max="6" width="9" customWidth="1"/>
    <col min="7" max="7" width="24" customWidth="1"/>
    <col min="8" max="8" width="12" customWidth="1"/>
    <col min="9" max="9" width="15" customWidth="1"/>
    <col min="10" max="10" width="22" customWidth="1"/>
    <col min="11" max="11" width="14" customWidth="1"/>
    <col min="12" max="12" width="13.5703125" style="15" customWidth="1"/>
  </cols>
  <sheetData>
    <row r="1" spans="1:13" ht="30" x14ac:dyDescent="0.25">
      <c r="A1" s="6" t="s">
        <v>83</v>
      </c>
      <c r="B1" s="6" t="s">
        <v>84</v>
      </c>
      <c r="C1" s="6" t="s">
        <v>85</v>
      </c>
      <c r="D1" s="6" t="s">
        <v>16</v>
      </c>
      <c r="E1" s="6" t="s">
        <v>49</v>
      </c>
      <c r="F1" s="6" t="s">
        <v>86</v>
      </c>
      <c r="G1" s="7" t="s">
        <v>17</v>
      </c>
      <c r="H1" s="7" t="s">
        <v>19</v>
      </c>
      <c r="I1" s="7" t="s">
        <v>20</v>
      </c>
      <c r="J1" s="7" t="s">
        <v>50</v>
      </c>
      <c r="K1" s="7" t="s">
        <v>87</v>
      </c>
      <c r="L1" s="13" t="s">
        <v>82</v>
      </c>
      <c r="M1" s="20" t="s">
        <v>448</v>
      </c>
    </row>
    <row r="2" spans="1:13" x14ac:dyDescent="0.25">
      <c r="A2" s="4" t="s">
        <v>88</v>
      </c>
      <c r="B2" s="8">
        <v>46023</v>
      </c>
      <c r="C2" s="4" t="s">
        <v>89</v>
      </c>
      <c r="D2" s="4" t="s">
        <v>21</v>
      </c>
      <c r="E2" s="4" t="s">
        <v>71</v>
      </c>
      <c r="F2" s="3">
        <v>44</v>
      </c>
      <c r="G2" s="2" t="str">
        <f>_xlfn.XLOOKUP(tblOrder[[#This Row],[Produktkod]], tblProd[Produktkod], tblProd[Produktnamn])</f>
        <v>Hydraulcylinder HC-50</v>
      </c>
      <c r="H2" s="2">
        <f>_xlfn.XLOOKUP(tblOrder[[#This Row],[Produktkod]], tblProd[Produktkod], tblProd[Styckpris])</f>
        <v>4500</v>
      </c>
      <c r="I2" s="2">
        <f>_xlfn.XLOOKUP(tblOrder[[#This Row],[Produktkod]], tblProd[Produktkod], tblProd[Självkostnad/st])</f>
        <v>2800</v>
      </c>
      <c r="J2" s="2" t="str">
        <f>_xlfn.XLOOKUP(tblOrder[[#This Row],[Kundkod]], tblKund[Kundkod], tblKund[Kund], "Okänd kund")</f>
        <v>Hydraul-Service AB</v>
      </c>
      <c r="K2" s="2">
        <f>tblOrder[[#This Row],[Antal]]*tblOrder[[#This Row],[Styckpris]]</f>
        <v>198000</v>
      </c>
      <c r="L2" s="14">
        <f>_xlfn.XLOOKUP(tblOrder[[#This Row],[Antal]], tblRabatt[Min antal], tblRabatt[Rabattsats], , -1)</f>
        <v>0</v>
      </c>
      <c r="M2" s="19">
        <f t="shared" ref="M2:M65" si="0">K2-F2*I2</f>
        <v>74800</v>
      </c>
    </row>
    <row r="3" spans="1:13" x14ac:dyDescent="0.25">
      <c r="A3" s="4" t="s">
        <v>90</v>
      </c>
      <c r="B3" s="8">
        <v>46023</v>
      </c>
      <c r="C3" s="4" t="s">
        <v>89</v>
      </c>
      <c r="D3" s="4" t="s">
        <v>31</v>
      </c>
      <c r="E3" s="4" t="s">
        <v>76</v>
      </c>
      <c r="F3" s="3">
        <v>173</v>
      </c>
      <c r="G3" s="2" t="str">
        <f>_xlfn.XLOOKUP(tblOrder[[#This Row],[Produktkod]], tblProd[Produktkod], tblProd[Produktnamn])</f>
        <v>Fästplatta FP-A4</v>
      </c>
      <c r="H3" s="2">
        <f>_xlfn.XLOOKUP(tblOrder[[#This Row],[Produktkod]], tblProd[Produktkod], tblProd[Styckpris])</f>
        <v>480</v>
      </c>
      <c r="I3" s="2">
        <f>_xlfn.XLOOKUP(tblOrder[[#This Row],[Produktkod]], tblProd[Produktkod], tblProd[Självkostnad/st])</f>
        <v>260</v>
      </c>
      <c r="J3" s="2" t="str">
        <f>_xlfn.XLOOKUP(tblOrder[[#This Row],[Kundkod]], tblKund[Kundkod], tblKund[Kund], "Okänd kund")</f>
        <v>Maskin &amp; Verktyg</v>
      </c>
      <c r="K3" s="2">
        <f>tblOrder[[#This Row],[Antal]]*tblOrder[[#This Row],[Styckpris]]</f>
        <v>83040</v>
      </c>
      <c r="L3" s="14">
        <f>_xlfn.XLOOKUP(tblOrder[[#This Row],[Antal]], tblRabatt[Min antal], tblRabatt[Rabattsats], , -1)</f>
        <v>0.05</v>
      </c>
      <c r="M3" s="19">
        <f t="shared" si="0"/>
        <v>38060</v>
      </c>
    </row>
    <row r="4" spans="1:13" x14ac:dyDescent="0.25">
      <c r="A4" s="4" t="s">
        <v>91</v>
      </c>
      <c r="B4" s="8">
        <v>46023</v>
      </c>
      <c r="C4" s="4" t="s">
        <v>89</v>
      </c>
      <c r="D4" s="4" t="s">
        <v>42</v>
      </c>
      <c r="E4" s="4" t="s">
        <v>53</v>
      </c>
      <c r="F4" s="3">
        <v>34</v>
      </c>
      <c r="G4" s="2" t="str">
        <f>_xlfn.XLOOKUP(tblOrder[[#This Row],[Produktkod]], tblProd[Produktkod], tblProd[Produktnamn])</f>
        <v>Lagersats LS-22</v>
      </c>
      <c r="H4" s="2">
        <f>_xlfn.XLOOKUP(tblOrder[[#This Row],[Produktkod]], tblProd[Produktkod], tblProd[Styckpris])</f>
        <v>650</v>
      </c>
      <c r="I4" s="2">
        <f>_xlfn.XLOOKUP(tblOrder[[#This Row],[Produktkod]], tblProd[Produktkod], tblProd[Självkostnad/st])</f>
        <v>380</v>
      </c>
      <c r="J4" s="2" t="str">
        <f>_xlfn.XLOOKUP(tblOrder[[#This Row],[Kundkod]], tblKund[Kundkod], tblKund[Kund], "Okänd kund")</f>
        <v>Volvo Lastvagnar</v>
      </c>
      <c r="K4" s="2">
        <f>tblOrder[[#This Row],[Antal]]*tblOrder[[#This Row],[Styckpris]]</f>
        <v>22100</v>
      </c>
      <c r="L4" s="14">
        <f>_xlfn.XLOOKUP(tblOrder[[#This Row],[Antal]], tblRabatt[Min antal], tblRabatt[Rabattsats], , -1)</f>
        <v>0</v>
      </c>
      <c r="M4" s="19">
        <f t="shared" si="0"/>
        <v>9180</v>
      </c>
    </row>
    <row r="5" spans="1:13" x14ac:dyDescent="0.25">
      <c r="A5" s="4" t="s">
        <v>92</v>
      </c>
      <c r="B5" s="8">
        <v>46023</v>
      </c>
      <c r="C5" s="4" t="s">
        <v>89</v>
      </c>
      <c r="D5" s="4" t="s">
        <v>45</v>
      </c>
      <c r="E5" s="4" t="s">
        <v>59</v>
      </c>
      <c r="F5" s="3">
        <v>160</v>
      </c>
      <c r="G5" s="2" t="str">
        <f>_xlfn.XLOOKUP(tblOrder[[#This Row],[Produktkod]], tblProd[Produktkod], tblProd[Produktnamn])</f>
        <v>Tätningskit TK-9</v>
      </c>
      <c r="H5" s="2">
        <f>_xlfn.XLOOKUP(tblOrder[[#This Row],[Produktkod]], tblProd[Produktkod], tblProd[Styckpris])</f>
        <v>210</v>
      </c>
      <c r="I5" s="2">
        <f>_xlfn.XLOOKUP(tblOrder[[#This Row],[Produktkod]], tblProd[Produktkod], tblProd[Självkostnad/st])</f>
        <v>95</v>
      </c>
      <c r="J5" s="2" t="str">
        <f>_xlfn.XLOOKUP(tblOrder[[#This Row],[Kundkod]], tblKund[Kundkod], tblKund[Kund], "Okänd kund")</f>
        <v>Kongsberg Automotive</v>
      </c>
      <c r="K5" s="2">
        <f>tblOrder[[#This Row],[Antal]]*tblOrder[[#This Row],[Styckpris]]</f>
        <v>33600</v>
      </c>
      <c r="L5" s="14">
        <f>_xlfn.XLOOKUP(tblOrder[[#This Row],[Antal]], tblRabatt[Min antal], tblRabatt[Rabattsats], , -1)</f>
        <v>0.05</v>
      </c>
      <c r="M5" s="19">
        <f t="shared" si="0"/>
        <v>18400</v>
      </c>
    </row>
    <row r="6" spans="1:13" x14ac:dyDescent="0.25">
      <c r="A6" s="4" t="s">
        <v>93</v>
      </c>
      <c r="B6" s="8">
        <v>46023</v>
      </c>
      <c r="C6" s="4" t="s">
        <v>89</v>
      </c>
      <c r="D6" s="4" t="s">
        <v>31</v>
      </c>
      <c r="E6" s="4" t="s">
        <v>62</v>
      </c>
      <c r="F6" s="3">
        <v>42</v>
      </c>
      <c r="G6" s="2" t="str">
        <f>_xlfn.XLOOKUP(tblOrder[[#This Row],[Produktkod]], tblProd[Produktkod], tblProd[Produktnamn])</f>
        <v>Fästplatta FP-A4</v>
      </c>
      <c r="H6" s="2">
        <f>_xlfn.XLOOKUP(tblOrder[[#This Row],[Produktkod]], tblProd[Produktkod], tblProd[Styckpris])</f>
        <v>480</v>
      </c>
      <c r="I6" s="2">
        <f>_xlfn.XLOOKUP(tblOrder[[#This Row],[Produktkod]], tblProd[Produktkod], tblProd[Självkostnad/st])</f>
        <v>260</v>
      </c>
      <c r="J6" s="2" t="str">
        <f>_xlfn.XLOOKUP(tblOrder[[#This Row],[Kundkod]], tblKund[Kundkod], tblKund[Kund], "Okänd kund")</f>
        <v>Danfoss A/S</v>
      </c>
      <c r="K6" s="2">
        <f>tblOrder[[#This Row],[Antal]]*tblOrder[[#This Row],[Styckpris]]</f>
        <v>20160</v>
      </c>
      <c r="L6" s="14">
        <f>_xlfn.XLOOKUP(tblOrder[[#This Row],[Antal]], tblRabatt[Min antal], tblRabatt[Rabattsats], , -1)</f>
        <v>0</v>
      </c>
      <c r="M6" s="19">
        <f t="shared" si="0"/>
        <v>9240</v>
      </c>
    </row>
    <row r="7" spans="1:13" x14ac:dyDescent="0.25">
      <c r="A7" s="4" t="s">
        <v>94</v>
      </c>
      <c r="B7" s="8">
        <v>46025</v>
      </c>
      <c r="C7" s="4" t="s">
        <v>89</v>
      </c>
      <c r="D7" s="4" t="s">
        <v>21</v>
      </c>
      <c r="E7" s="4" t="s">
        <v>79</v>
      </c>
      <c r="F7" s="3">
        <v>453</v>
      </c>
      <c r="G7" s="2" t="str">
        <f>_xlfn.XLOOKUP(tblOrder[[#This Row],[Produktkod]], tblProd[Produktkod], tblProd[Produktnamn])</f>
        <v>Hydraulcylinder HC-50</v>
      </c>
      <c r="H7" s="2">
        <f>_xlfn.XLOOKUP(tblOrder[[#This Row],[Produktkod]], tblProd[Produktkod], tblProd[Styckpris])</f>
        <v>4500</v>
      </c>
      <c r="I7" s="2">
        <f>_xlfn.XLOOKUP(tblOrder[[#This Row],[Produktkod]], tblProd[Produktkod], tblProd[Självkostnad/st])</f>
        <v>2800</v>
      </c>
      <c r="J7" s="2" t="str">
        <f>_xlfn.XLOOKUP(tblOrder[[#This Row],[Kundkod]], tblKund[Kundkod], tblKund[Kund], "Okänd kund")</f>
        <v>Industrikomponenter</v>
      </c>
      <c r="K7" s="2">
        <f>tblOrder[[#This Row],[Antal]]*tblOrder[[#This Row],[Styckpris]]</f>
        <v>2038500</v>
      </c>
      <c r="L7" s="14">
        <f>_xlfn.XLOOKUP(tblOrder[[#This Row],[Antal]], tblRabatt[Min antal], tblRabatt[Rabattsats], , -1)</f>
        <v>0.08</v>
      </c>
      <c r="M7" s="19">
        <f t="shared" si="0"/>
        <v>770100</v>
      </c>
    </row>
    <row r="8" spans="1:13" x14ac:dyDescent="0.25">
      <c r="A8" s="4" t="s">
        <v>95</v>
      </c>
      <c r="B8" s="8">
        <v>46025</v>
      </c>
      <c r="C8" s="4" t="s">
        <v>89</v>
      </c>
      <c r="D8" s="4" t="s">
        <v>45</v>
      </c>
      <c r="E8" s="4" t="s">
        <v>53</v>
      </c>
      <c r="F8" s="3">
        <v>47</v>
      </c>
      <c r="G8" s="2" t="str">
        <f>_xlfn.XLOOKUP(tblOrder[[#This Row],[Produktkod]], tblProd[Produktkod], tblProd[Produktnamn])</f>
        <v>Tätningskit TK-9</v>
      </c>
      <c r="H8" s="2">
        <f>_xlfn.XLOOKUP(tblOrder[[#This Row],[Produktkod]], tblProd[Produktkod], tblProd[Styckpris])</f>
        <v>210</v>
      </c>
      <c r="I8" s="2">
        <f>_xlfn.XLOOKUP(tblOrder[[#This Row],[Produktkod]], tblProd[Produktkod], tblProd[Självkostnad/st])</f>
        <v>95</v>
      </c>
      <c r="J8" s="2" t="str">
        <f>_xlfn.XLOOKUP(tblOrder[[#This Row],[Kundkod]], tblKund[Kundkod], tblKund[Kund], "Okänd kund")</f>
        <v>Volvo Lastvagnar</v>
      </c>
      <c r="K8" s="2">
        <f>tblOrder[[#This Row],[Antal]]*tblOrder[[#This Row],[Styckpris]]</f>
        <v>9870</v>
      </c>
      <c r="L8" s="14">
        <f>_xlfn.XLOOKUP(tblOrder[[#This Row],[Antal]], tblRabatt[Min antal], tblRabatt[Rabattsats], , -1)</f>
        <v>0</v>
      </c>
      <c r="M8" s="19">
        <f t="shared" si="0"/>
        <v>5405</v>
      </c>
    </row>
    <row r="9" spans="1:13" x14ac:dyDescent="0.25">
      <c r="A9" s="4" t="s">
        <v>96</v>
      </c>
      <c r="B9" s="8">
        <v>46026</v>
      </c>
      <c r="C9" s="4" t="s">
        <v>89</v>
      </c>
      <c r="D9" s="4" t="s">
        <v>33</v>
      </c>
      <c r="E9" s="4" t="s">
        <v>68</v>
      </c>
      <c r="F9" s="3">
        <v>24</v>
      </c>
      <c r="G9" s="2" t="str">
        <f>_xlfn.XLOOKUP(tblOrder[[#This Row],[Produktkod]], tblProd[Produktkod], tblProd[Produktnamn])</f>
        <v>Skruvkit SK-100</v>
      </c>
      <c r="H9" s="2">
        <f>_xlfn.XLOOKUP(tblOrder[[#This Row],[Produktkod]], tblProd[Produktkod], tblProd[Styckpris])</f>
        <v>320</v>
      </c>
      <c r="I9" s="2">
        <f>_xlfn.XLOOKUP(tblOrder[[#This Row],[Produktkod]], tblProd[Produktkod], tblProd[Självkostnad/st])</f>
        <v>165</v>
      </c>
      <c r="J9" s="2" t="str">
        <f>_xlfn.XLOOKUP(tblOrder[[#This Row],[Kundkod]], tblKund[Kundkod], tblKund[Kund], "Okänd kund")</f>
        <v>Bosch Rexroth</v>
      </c>
      <c r="K9" s="2">
        <f>tblOrder[[#This Row],[Antal]]*tblOrder[[#This Row],[Styckpris]]</f>
        <v>7680</v>
      </c>
      <c r="L9" s="14">
        <f>_xlfn.XLOOKUP(tblOrder[[#This Row],[Antal]], tblRabatt[Min antal], tblRabatt[Rabattsats], , -1)</f>
        <v>0</v>
      </c>
      <c r="M9" s="19">
        <f t="shared" si="0"/>
        <v>3720</v>
      </c>
    </row>
    <row r="10" spans="1:13" x14ac:dyDescent="0.25">
      <c r="A10" s="4" t="s">
        <v>97</v>
      </c>
      <c r="B10" s="8">
        <v>46027</v>
      </c>
      <c r="C10" s="4" t="s">
        <v>89</v>
      </c>
      <c r="D10" s="4" t="s">
        <v>47</v>
      </c>
      <c r="E10" s="4" t="s">
        <v>71</v>
      </c>
      <c r="F10" s="3">
        <v>50</v>
      </c>
      <c r="G10" s="2" t="str">
        <f>_xlfn.XLOOKUP(tblOrder[[#This Row],[Produktkod]], tblProd[Produktkod], tblProd[Produktnamn])</f>
        <v>Packningssats PS-3</v>
      </c>
      <c r="H10" s="2">
        <f>_xlfn.XLOOKUP(tblOrder[[#This Row],[Produktkod]], tblProd[Produktkod], tblProd[Styckpris])</f>
        <v>145</v>
      </c>
      <c r="I10" s="2">
        <f>_xlfn.XLOOKUP(tblOrder[[#This Row],[Produktkod]], tblProd[Produktkod], tblProd[Självkostnad/st])</f>
        <v>68</v>
      </c>
      <c r="J10" s="2" t="str">
        <f>_xlfn.XLOOKUP(tblOrder[[#This Row],[Kundkod]], tblKund[Kundkod], tblKund[Kund], "Okänd kund")</f>
        <v>Hydraul-Service AB</v>
      </c>
      <c r="K10" s="2">
        <f>tblOrder[[#This Row],[Antal]]*tblOrder[[#This Row],[Styckpris]]</f>
        <v>7250</v>
      </c>
      <c r="L10" s="14">
        <f>_xlfn.XLOOKUP(tblOrder[[#This Row],[Antal]], tblRabatt[Min antal], tblRabatt[Rabattsats], , -1)</f>
        <v>0.03</v>
      </c>
      <c r="M10" s="19">
        <f t="shared" si="0"/>
        <v>3850</v>
      </c>
    </row>
    <row r="11" spans="1:13" x14ac:dyDescent="0.25">
      <c r="A11" s="4" t="s">
        <v>98</v>
      </c>
      <c r="B11" s="8">
        <v>46028</v>
      </c>
      <c r="C11" s="4" t="s">
        <v>89</v>
      </c>
      <c r="D11" s="4" t="s">
        <v>21</v>
      </c>
      <c r="E11" s="4" t="s">
        <v>71</v>
      </c>
      <c r="F11" s="3">
        <v>538</v>
      </c>
      <c r="G11" s="2" t="str">
        <f>_xlfn.XLOOKUP(tblOrder[[#This Row],[Produktkod]], tblProd[Produktkod], tblProd[Produktnamn])</f>
        <v>Hydraulcylinder HC-50</v>
      </c>
      <c r="H11" s="2">
        <f>_xlfn.XLOOKUP(tblOrder[[#This Row],[Produktkod]], tblProd[Produktkod], tblProd[Styckpris])</f>
        <v>4500</v>
      </c>
      <c r="I11" s="2">
        <f>_xlfn.XLOOKUP(tblOrder[[#This Row],[Produktkod]], tblProd[Produktkod], tblProd[Självkostnad/st])</f>
        <v>2800</v>
      </c>
      <c r="J11" s="2" t="str">
        <f>_xlfn.XLOOKUP(tblOrder[[#This Row],[Kundkod]], tblKund[Kundkod], tblKund[Kund], "Okänd kund")</f>
        <v>Hydraul-Service AB</v>
      </c>
      <c r="K11" s="2">
        <f>tblOrder[[#This Row],[Antal]]*tblOrder[[#This Row],[Styckpris]]</f>
        <v>2421000</v>
      </c>
      <c r="L11" s="14">
        <f>_xlfn.XLOOKUP(tblOrder[[#This Row],[Antal]], tblRabatt[Min antal], tblRabatt[Rabattsats], , -1)</f>
        <v>0.12</v>
      </c>
      <c r="M11" s="19">
        <f t="shared" si="0"/>
        <v>914600</v>
      </c>
    </row>
    <row r="12" spans="1:13" x14ac:dyDescent="0.25">
      <c r="A12" s="4" t="s">
        <v>99</v>
      </c>
      <c r="B12" s="8">
        <v>46028</v>
      </c>
      <c r="C12" s="4" t="s">
        <v>89</v>
      </c>
      <c r="D12" s="4" t="s">
        <v>28</v>
      </c>
      <c r="E12" s="4" t="s">
        <v>57</v>
      </c>
      <c r="F12" s="3">
        <v>420</v>
      </c>
      <c r="G12" s="2" t="str">
        <f>_xlfn.XLOOKUP(tblOrder[[#This Row],[Produktkod]], tblProd[Produktkod], tblProd[Produktnamn])</f>
        <v>Montagesats MS-10</v>
      </c>
      <c r="H12" s="2">
        <f>_xlfn.XLOOKUP(tblOrder[[#This Row],[Produktkod]], tblProd[Produktkod], tblProd[Styckpris])</f>
        <v>1250</v>
      </c>
      <c r="I12" s="2">
        <f>_xlfn.XLOOKUP(tblOrder[[#This Row],[Produktkod]], tblProd[Produktkod], tblProd[Självkostnad/st])</f>
        <v>720</v>
      </c>
      <c r="J12" s="2" t="str">
        <f>_xlfn.XLOOKUP(tblOrder[[#This Row],[Kundkod]], tblKund[Kundkod], tblKund[Kund], "Okänd kund")</f>
        <v>Scania CV</v>
      </c>
      <c r="K12" s="2">
        <f>tblOrder[[#This Row],[Antal]]*tblOrder[[#This Row],[Styckpris]]</f>
        <v>525000</v>
      </c>
      <c r="L12" s="14">
        <f>_xlfn.XLOOKUP(tblOrder[[#This Row],[Antal]], tblRabatt[Min antal], tblRabatt[Rabattsats], , -1)</f>
        <v>0.08</v>
      </c>
      <c r="M12" s="19">
        <f t="shared" si="0"/>
        <v>222600</v>
      </c>
    </row>
    <row r="13" spans="1:13" x14ac:dyDescent="0.25">
      <c r="A13" s="4" t="s">
        <v>100</v>
      </c>
      <c r="B13" s="8">
        <v>46030</v>
      </c>
      <c r="C13" s="4" t="s">
        <v>89</v>
      </c>
      <c r="D13" s="4" t="s">
        <v>21</v>
      </c>
      <c r="E13" s="4" t="s">
        <v>79</v>
      </c>
      <c r="F13" s="3">
        <v>29</v>
      </c>
      <c r="G13" s="2" t="str">
        <f>_xlfn.XLOOKUP(tblOrder[[#This Row],[Produktkod]], tblProd[Produktkod], tblProd[Produktnamn])</f>
        <v>Hydraulcylinder HC-50</v>
      </c>
      <c r="H13" s="2">
        <f>_xlfn.XLOOKUP(tblOrder[[#This Row],[Produktkod]], tblProd[Produktkod], tblProd[Styckpris])</f>
        <v>4500</v>
      </c>
      <c r="I13" s="2">
        <f>_xlfn.XLOOKUP(tblOrder[[#This Row],[Produktkod]], tblProd[Produktkod], tblProd[Självkostnad/st])</f>
        <v>2800</v>
      </c>
      <c r="J13" s="2" t="str">
        <f>_xlfn.XLOOKUP(tblOrder[[#This Row],[Kundkod]], tblKund[Kundkod], tblKund[Kund], "Okänd kund")</f>
        <v>Industrikomponenter</v>
      </c>
      <c r="K13" s="2">
        <f>tblOrder[[#This Row],[Antal]]*tblOrder[[#This Row],[Styckpris]]</f>
        <v>130500</v>
      </c>
      <c r="L13" s="14">
        <f>_xlfn.XLOOKUP(tblOrder[[#This Row],[Antal]], tblRabatt[Min antal], tblRabatt[Rabattsats], , -1)</f>
        <v>0</v>
      </c>
      <c r="M13" s="19">
        <f t="shared" si="0"/>
        <v>49300</v>
      </c>
    </row>
    <row r="14" spans="1:13" x14ac:dyDescent="0.25">
      <c r="A14" s="4" t="s">
        <v>101</v>
      </c>
      <c r="B14" s="8">
        <v>46030</v>
      </c>
      <c r="C14" s="4" t="s">
        <v>89</v>
      </c>
      <c r="D14" s="4" t="s">
        <v>28</v>
      </c>
      <c r="E14" s="4" t="s">
        <v>65</v>
      </c>
      <c r="F14" s="3">
        <v>52</v>
      </c>
      <c r="G14" s="2" t="str">
        <f>_xlfn.XLOOKUP(tblOrder[[#This Row],[Produktkod]], tblProd[Produktkod], tblProd[Produktnamn])</f>
        <v>Montagesats MS-10</v>
      </c>
      <c r="H14" s="2">
        <f>_xlfn.XLOOKUP(tblOrder[[#This Row],[Produktkod]], tblProd[Produktkod], tblProd[Styckpris])</f>
        <v>1250</v>
      </c>
      <c r="I14" s="2">
        <f>_xlfn.XLOOKUP(tblOrder[[#This Row],[Produktkod]], tblProd[Produktkod], tblProd[Självkostnad/st])</f>
        <v>720</v>
      </c>
      <c r="J14" s="2" t="str">
        <f>_xlfn.XLOOKUP(tblOrder[[#This Row],[Kundkod]], tblKund[Kundkod], tblKund[Kund], "Okänd kund")</f>
        <v>Wärtsilä</v>
      </c>
      <c r="K14" s="2">
        <f>tblOrder[[#This Row],[Antal]]*tblOrder[[#This Row],[Styckpris]]</f>
        <v>65000</v>
      </c>
      <c r="L14" s="14">
        <f>_xlfn.XLOOKUP(tblOrder[[#This Row],[Antal]], tblRabatt[Min antal], tblRabatt[Rabattsats], , -1)</f>
        <v>0.03</v>
      </c>
      <c r="M14" s="19">
        <f t="shared" si="0"/>
        <v>27560</v>
      </c>
    </row>
    <row r="15" spans="1:13" x14ac:dyDescent="0.25">
      <c r="A15" s="4" t="s">
        <v>102</v>
      </c>
      <c r="B15" s="8">
        <v>46030</v>
      </c>
      <c r="C15" s="4" t="s">
        <v>89</v>
      </c>
      <c r="D15" s="4" t="s">
        <v>28</v>
      </c>
      <c r="E15" s="4" t="s">
        <v>68</v>
      </c>
      <c r="F15" s="3">
        <v>325</v>
      </c>
      <c r="G15" s="2" t="str">
        <f>_xlfn.XLOOKUP(tblOrder[[#This Row],[Produktkod]], tblProd[Produktkod], tblProd[Produktnamn])</f>
        <v>Montagesats MS-10</v>
      </c>
      <c r="H15" s="2">
        <f>_xlfn.XLOOKUP(tblOrder[[#This Row],[Produktkod]], tblProd[Produktkod], tblProd[Styckpris])</f>
        <v>1250</v>
      </c>
      <c r="I15" s="2">
        <f>_xlfn.XLOOKUP(tblOrder[[#This Row],[Produktkod]], tblProd[Produktkod], tblProd[Självkostnad/st])</f>
        <v>720</v>
      </c>
      <c r="J15" s="2" t="str">
        <f>_xlfn.XLOOKUP(tblOrder[[#This Row],[Kundkod]], tblKund[Kundkod], tblKund[Kund], "Okänd kund")</f>
        <v>Bosch Rexroth</v>
      </c>
      <c r="K15" s="2">
        <f>tblOrder[[#This Row],[Antal]]*tblOrder[[#This Row],[Styckpris]]</f>
        <v>406250</v>
      </c>
      <c r="L15" s="14">
        <f>_xlfn.XLOOKUP(tblOrder[[#This Row],[Antal]], tblRabatt[Min antal], tblRabatt[Rabattsats], , -1)</f>
        <v>0.08</v>
      </c>
      <c r="M15" s="19">
        <f t="shared" si="0"/>
        <v>172250</v>
      </c>
    </row>
    <row r="16" spans="1:13" x14ac:dyDescent="0.25">
      <c r="A16" s="4" t="s">
        <v>103</v>
      </c>
      <c r="B16" s="8">
        <v>46030</v>
      </c>
      <c r="C16" s="4" t="s">
        <v>89</v>
      </c>
      <c r="D16" s="4" t="s">
        <v>26</v>
      </c>
      <c r="E16" s="4" t="s">
        <v>59</v>
      </c>
      <c r="F16" s="3">
        <v>399</v>
      </c>
      <c r="G16" s="2" t="str">
        <f>_xlfn.XLOOKUP(tblOrder[[#This Row],[Produktkod]], tblProd[Produktkod], tblProd[Produktnamn])</f>
        <v>Ventilblock VB-30</v>
      </c>
      <c r="H16" s="2">
        <f>_xlfn.XLOOKUP(tblOrder[[#This Row],[Produktkod]], tblProd[Produktkod], tblProd[Styckpris])</f>
        <v>3200</v>
      </c>
      <c r="I16" s="2">
        <f>_xlfn.XLOOKUP(tblOrder[[#This Row],[Produktkod]], tblProd[Produktkod], tblProd[Självkostnad/st])</f>
        <v>1950</v>
      </c>
      <c r="J16" s="2" t="str">
        <f>_xlfn.XLOOKUP(tblOrder[[#This Row],[Kundkod]], tblKund[Kundkod], tblKund[Kund], "Okänd kund")</f>
        <v>Kongsberg Automotive</v>
      </c>
      <c r="K16" s="2">
        <f>tblOrder[[#This Row],[Antal]]*tblOrder[[#This Row],[Styckpris]]</f>
        <v>1276800</v>
      </c>
      <c r="L16" s="14">
        <f>_xlfn.XLOOKUP(tblOrder[[#This Row],[Antal]], tblRabatt[Min antal], tblRabatt[Rabattsats], , -1)</f>
        <v>0.08</v>
      </c>
      <c r="M16" s="19">
        <f t="shared" si="0"/>
        <v>498750</v>
      </c>
    </row>
    <row r="17" spans="1:13" x14ac:dyDescent="0.25">
      <c r="A17" s="4" t="s">
        <v>104</v>
      </c>
      <c r="B17" s="8">
        <v>46031</v>
      </c>
      <c r="C17" s="4" t="s">
        <v>89</v>
      </c>
      <c r="D17" s="4" t="s">
        <v>45</v>
      </c>
      <c r="E17" s="4" t="s">
        <v>74</v>
      </c>
      <c r="F17" s="3">
        <v>49</v>
      </c>
      <c r="G17" s="2" t="str">
        <f>_xlfn.XLOOKUP(tblOrder[[#This Row],[Produktkod]], tblProd[Produktkod], tblProd[Produktnamn])</f>
        <v>Tätningskit TK-9</v>
      </c>
      <c r="H17" s="2">
        <f>_xlfn.XLOOKUP(tblOrder[[#This Row],[Produktkod]], tblProd[Produktkod], tblProd[Styckpris])</f>
        <v>210</v>
      </c>
      <c r="I17" s="2">
        <f>_xlfn.XLOOKUP(tblOrder[[#This Row],[Produktkod]], tblProd[Produktkod], tblProd[Självkostnad/st])</f>
        <v>95</v>
      </c>
      <c r="J17" s="2" t="str">
        <f>_xlfn.XLOOKUP(tblOrder[[#This Row],[Kundkod]], tblKund[Kundkod], tblKund[Kund], "Okänd kund")</f>
        <v>Nordic Parts AS</v>
      </c>
      <c r="K17" s="2">
        <f>tblOrder[[#This Row],[Antal]]*tblOrder[[#This Row],[Styckpris]]</f>
        <v>10290</v>
      </c>
      <c r="L17" s="14">
        <f>_xlfn.XLOOKUP(tblOrder[[#This Row],[Antal]], tblRabatt[Min antal], tblRabatt[Rabattsats], , -1)</f>
        <v>0</v>
      </c>
      <c r="M17" s="19">
        <f t="shared" si="0"/>
        <v>5635</v>
      </c>
    </row>
    <row r="18" spans="1:13" x14ac:dyDescent="0.25">
      <c r="A18" s="4" t="s">
        <v>105</v>
      </c>
      <c r="B18" s="8">
        <v>46032</v>
      </c>
      <c r="C18" s="4" t="s">
        <v>89</v>
      </c>
      <c r="D18" s="4" t="s">
        <v>45</v>
      </c>
      <c r="E18" s="4" t="s">
        <v>79</v>
      </c>
      <c r="F18" s="3">
        <v>48</v>
      </c>
      <c r="G18" s="2" t="str">
        <f>_xlfn.XLOOKUP(tblOrder[[#This Row],[Produktkod]], tblProd[Produktkod], tblProd[Produktnamn])</f>
        <v>Tätningskit TK-9</v>
      </c>
      <c r="H18" s="2">
        <f>_xlfn.XLOOKUP(tblOrder[[#This Row],[Produktkod]], tblProd[Produktkod], tblProd[Styckpris])</f>
        <v>210</v>
      </c>
      <c r="I18" s="2">
        <f>_xlfn.XLOOKUP(tblOrder[[#This Row],[Produktkod]], tblProd[Produktkod], tblProd[Självkostnad/st])</f>
        <v>95</v>
      </c>
      <c r="J18" s="2" t="str">
        <f>_xlfn.XLOOKUP(tblOrder[[#This Row],[Kundkod]], tblKund[Kundkod], tblKund[Kund], "Okänd kund")</f>
        <v>Industrikomponenter</v>
      </c>
      <c r="K18" s="2">
        <f>tblOrder[[#This Row],[Antal]]*tblOrder[[#This Row],[Styckpris]]</f>
        <v>10080</v>
      </c>
      <c r="L18" s="14">
        <f>_xlfn.XLOOKUP(tblOrder[[#This Row],[Antal]], tblRabatt[Min antal], tblRabatt[Rabattsats], , -1)</f>
        <v>0</v>
      </c>
      <c r="M18" s="19">
        <f t="shared" si="0"/>
        <v>5520</v>
      </c>
    </row>
    <row r="19" spans="1:13" x14ac:dyDescent="0.25">
      <c r="A19" s="4" t="s">
        <v>106</v>
      </c>
      <c r="B19" s="8">
        <v>46032</v>
      </c>
      <c r="C19" s="4" t="s">
        <v>89</v>
      </c>
      <c r="D19" s="4" t="s">
        <v>24</v>
      </c>
      <c r="E19" s="4" t="s">
        <v>57</v>
      </c>
      <c r="F19" s="3">
        <v>57</v>
      </c>
      <c r="G19" s="2" t="str">
        <f>_xlfn.XLOOKUP(tblOrder[[#This Row],[Produktkod]], tblProd[Produktkod], tblProd[Produktnamn])</f>
        <v>Hydraulpump HP-200</v>
      </c>
      <c r="H19" s="2">
        <f>_xlfn.XLOOKUP(tblOrder[[#This Row],[Produktkod]], tblProd[Produktkod], tblProd[Styckpris])</f>
        <v>8900</v>
      </c>
      <c r="I19" s="2">
        <f>_xlfn.XLOOKUP(tblOrder[[#This Row],[Produktkod]], tblProd[Produktkod], tblProd[Självkostnad/st])</f>
        <v>5600</v>
      </c>
      <c r="J19" s="2" t="str">
        <f>_xlfn.XLOOKUP(tblOrder[[#This Row],[Kundkod]], tblKund[Kundkod], tblKund[Kund], "Okänd kund")</f>
        <v>Scania CV</v>
      </c>
      <c r="K19" s="2">
        <f>tblOrder[[#This Row],[Antal]]*tblOrder[[#This Row],[Styckpris]]</f>
        <v>507300</v>
      </c>
      <c r="L19" s="14">
        <f>_xlfn.XLOOKUP(tblOrder[[#This Row],[Antal]], tblRabatt[Min antal], tblRabatt[Rabattsats], , -1)</f>
        <v>0.03</v>
      </c>
      <c r="M19" s="19">
        <f t="shared" si="0"/>
        <v>188100</v>
      </c>
    </row>
    <row r="20" spans="1:13" x14ac:dyDescent="0.25">
      <c r="A20" s="4" t="s">
        <v>107</v>
      </c>
      <c r="B20" s="8">
        <v>46033</v>
      </c>
      <c r="C20" s="4" t="s">
        <v>89</v>
      </c>
      <c r="D20" s="4" t="s">
        <v>33</v>
      </c>
      <c r="E20" s="4" t="s">
        <v>79</v>
      </c>
      <c r="F20" s="3">
        <v>72</v>
      </c>
      <c r="G20" s="2" t="str">
        <f>_xlfn.XLOOKUP(tblOrder[[#This Row],[Produktkod]], tblProd[Produktkod], tblProd[Produktnamn])</f>
        <v>Skruvkit SK-100</v>
      </c>
      <c r="H20" s="2">
        <f>_xlfn.XLOOKUP(tblOrder[[#This Row],[Produktkod]], tblProd[Produktkod], tblProd[Styckpris])</f>
        <v>320</v>
      </c>
      <c r="I20" s="2">
        <f>_xlfn.XLOOKUP(tblOrder[[#This Row],[Produktkod]], tblProd[Produktkod], tblProd[Självkostnad/st])</f>
        <v>165</v>
      </c>
      <c r="J20" s="2" t="str">
        <f>_xlfn.XLOOKUP(tblOrder[[#This Row],[Kundkod]], tblKund[Kundkod], tblKund[Kund], "Okänd kund")</f>
        <v>Industrikomponenter</v>
      </c>
      <c r="K20" s="2">
        <f>tblOrder[[#This Row],[Antal]]*tblOrder[[#This Row],[Styckpris]]</f>
        <v>23040</v>
      </c>
      <c r="L20" s="14">
        <f>_xlfn.XLOOKUP(tblOrder[[#This Row],[Antal]], tblRabatt[Min antal], tblRabatt[Rabattsats], , -1)</f>
        <v>0.03</v>
      </c>
      <c r="M20" s="19">
        <f t="shared" si="0"/>
        <v>11160</v>
      </c>
    </row>
    <row r="21" spans="1:13" x14ac:dyDescent="0.25">
      <c r="A21" s="4" t="s">
        <v>108</v>
      </c>
      <c r="B21" s="8">
        <v>46033</v>
      </c>
      <c r="C21" s="4" t="s">
        <v>89</v>
      </c>
      <c r="D21" s="4" t="s">
        <v>40</v>
      </c>
      <c r="E21" s="4" t="s">
        <v>53</v>
      </c>
      <c r="F21" s="3">
        <v>85</v>
      </c>
      <c r="G21" s="2" t="str">
        <f>_xlfn.XLOOKUP(tblOrder[[#This Row],[Produktkod]], tblProd[Produktkod], tblProd[Produktnamn])</f>
        <v>Kabelhärva KH-7</v>
      </c>
      <c r="H21" s="2">
        <f>_xlfn.XLOOKUP(tblOrder[[#This Row],[Produktkod]], tblProd[Produktkod], tblProd[Styckpris])</f>
        <v>890</v>
      </c>
      <c r="I21" s="2">
        <f>_xlfn.XLOOKUP(tblOrder[[#This Row],[Produktkod]], tblProd[Produktkod], tblProd[Självkostnad/st])</f>
        <v>510</v>
      </c>
      <c r="J21" s="2" t="str">
        <f>_xlfn.XLOOKUP(tblOrder[[#This Row],[Kundkod]], tblKund[Kundkod], tblKund[Kund], "Okänd kund")</f>
        <v>Volvo Lastvagnar</v>
      </c>
      <c r="K21" s="2">
        <f>tblOrder[[#This Row],[Antal]]*tblOrder[[#This Row],[Styckpris]]</f>
        <v>75650</v>
      </c>
      <c r="L21" s="14">
        <f>_xlfn.XLOOKUP(tblOrder[[#This Row],[Antal]], tblRabatt[Min antal], tblRabatt[Rabattsats], , -1)</f>
        <v>0.03</v>
      </c>
      <c r="M21" s="19">
        <f t="shared" si="0"/>
        <v>32300</v>
      </c>
    </row>
    <row r="22" spans="1:13" x14ac:dyDescent="0.25">
      <c r="A22" s="4" t="s">
        <v>109</v>
      </c>
      <c r="B22" s="8">
        <v>46033</v>
      </c>
      <c r="C22" s="4" t="s">
        <v>89</v>
      </c>
      <c r="D22" s="4" t="s">
        <v>24</v>
      </c>
      <c r="E22" s="4" t="s">
        <v>71</v>
      </c>
      <c r="F22" s="3">
        <v>7</v>
      </c>
      <c r="G22" s="2" t="str">
        <f>_xlfn.XLOOKUP(tblOrder[[#This Row],[Produktkod]], tblProd[Produktkod], tblProd[Produktnamn])</f>
        <v>Hydraulpump HP-200</v>
      </c>
      <c r="H22" s="2">
        <f>_xlfn.XLOOKUP(tblOrder[[#This Row],[Produktkod]], tblProd[Produktkod], tblProd[Styckpris])</f>
        <v>8900</v>
      </c>
      <c r="I22" s="2">
        <f>_xlfn.XLOOKUP(tblOrder[[#This Row],[Produktkod]], tblProd[Produktkod], tblProd[Självkostnad/st])</f>
        <v>5600</v>
      </c>
      <c r="J22" s="2" t="str">
        <f>_xlfn.XLOOKUP(tblOrder[[#This Row],[Kundkod]], tblKund[Kundkod], tblKund[Kund], "Okänd kund")</f>
        <v>Hydraul-Service AB</v>
      </c>
      <c r="K22" s="2">
        <f>tblOrder[[#This Row],[Antal]]*tblOrder[[#This Row],[Styckpris]]</f>
        <v>62300</v>
      </c>
      <c r="L22" s="14">
        <f>_xlfn.XLOOKUP(tblOrder[[#This Row],[Antal]], tblRabatt[Min antal], tblRabatt[Rabattsats], , -1)</f>
        <v>0</v>
      </c>
      <c r="M22" s="19">
        <f t="shared" si="0"/>
        <v>23100</v>
      </c>
    </row>
    <row r="23" spans="1:13" x14ac:dyDescent="0.25">
      <c r="A23" s="4" t="s">
        <v>110</v>
      </c>
      <c r="B23" s="8">
        <v>46033</v>
      </c>
      <c r="C23" s="4" t="s">
        <v>89</v>
      </c>
      <c r="D23" s="4" t="s">
        <v>21</v>
      </c>
      <c r="E23" s="4" t="s">
        <v>79</v>
      </c>
      <c r="F23" s="3">
        <v>14</v>
      </c>
      <c r="G23" s="2" t="str">
        <f>_xlfn.XLOOKUP(tblOrder[[#This Row],[Produktkod]], tblProd[Produktkod], tblProd[Produktnamn])</f>
        <v>Hydraulcylinder HC-50</v>
      </c>
      <c r="H23" s="2">
        <f>_xlfn.XLOOKUP(tblOrder[[#This Row],[Produktkod]], tblProd[Produktkod], tblProd[Styckpris])</f>
        <v>4500</v>
      </c>
      <c r="I23" s="2">
        <f>_xlfn.XLOOKUP(tblOrder[[#This Row],[Produktkod]], tblProd[Produktkod], tblProd[Självkostnad/st])</f>
        <v>2800</v>
      </c>
      <c r="J23" s="2" t="str">
        <f>_xlfn.XLOOKUP(tblOrder[[#This Row],[Kundkod]], tblKund[Kundkod], tblKund[Kund], "Okänd kund")</f>
        <v>Industrikomponenter</v>
      </c>
      <c r="K23" s="2">
        <f>tblOrder[[#This Row],[Antal]]*tblOrder[[#This Row],[Styckpris]]</f>
        <v>63000</v>
      </c>
      <c r="L23" s="14">
        <f>_xlfn.XLOOKUP(tblOrder[[#This Row],[Antal]], tblRabatt[Min antal], tblRabatt[Rabattsats], , -1)</f>
        <v>0</v>
      </c>
      <c r="M23" s="19">
        <f t="shared" si="0"/>
        <v>23800</v>
      </c>
    </row>
    <row r="24" spans="1:13" x14ac:dyDescent="0.25">
      <c r="A24" s="4" t="s">
        <v>111</v>
      </c>
      <c r="B24" s="8">
        <v>46034</v>
      </c>
      <c r="C24" s="4" t="s">
        <v>89</v>
      </c>
      <c r="D24" s="4" t="s">
        <v>45</v>
      </c>
      <c r="E24" s="4" t="s">
        <v>62</v>
      </c>
      <c r="F24" s="3">
        <v>17</v>
      </c>
      <c r="G24" s="2" t="str">
        <f>_xlfn.XLOOKUP(tblOrder[[#This Row],[Produktkod]], tblProd[Produktkod], tblProd[Produktnamn])</f>
        <v>Tätningskit TK-9</v>
      </c>
      <c r="H24" s="2">
        <f>_xlfn.XLOOKUP(tblOrder[[#This Row],[Produktkod]], tblProd[Produktkod], tblProd[Styckpris])</f>
        <v>210</v>
      </c>
      <c r="I24" s="2">
        <f>_xlfn.XLOOKUP(tblOrder[[#This Row],[Produktkod]], tblProd[Produktkod], tblProd[Självkostnad/st])</f>
        <v>95</v>
      </c>
      <c r="J24" s="2" t="str">
        <f>_xlfn.XLOOKUP(tblOrder[[#This Row],[Kundkod]], tblKund[Kundkod], tblKund[Kund], "Okänd kund")</f>
        <v>Danfoss A/S</v>
      </c>
      <c r="K24" s="2">
        <f>tblOrder[[#This Row],[Antal]]*tblOrder[[#This Row],[Styckpris]]</f>
        <v>3570</v>
      </c>
      <c r="L24" s="14">
        <f>_xlfn.XLOOKUP(tblOrder[[#This Row],[Antal]], tblRabatt[Min antal], tblRabatt[Rabattsats], , -1)</f>
        <v>0</v>
      </c>
      <c r="M24" s="19">
        <f t="shared" si="0"/>
        <v>1955</v>
      </c>
    </row>
    <row r="25" spans="1:13" x14ac:dyDescent="0.25">
      <c r="A25" s="4" t="s">
        <v>112</v>
      </c>
      <c r="B25" s="8">
        <v>46034</v>
      </c>
      <c r="C25" s="4" t="s">
        <v>89</v>
      </c>
      <c r="D25" s="4" t="s">
        <v>45</v>
      </c>
      <c r="E25" s="4" t="s">
        <v>74</v>
      </c>
      <c r="F25" s="3">
        <v>42</v>
      </c>
      <c r="G25" s="2" t="str">
        <f>_xlfn.XLOOKUP(tblOrder[[#This Row],[Produktkod]], tblProd[Produktkod], tblProd[Produktnamn])</f>
        <v>Tätningskit TK-9</v>
      </c>
      <c r="H25" s="2">
        <f>_xlfn.XLOOKUP(tblOrder[[#This Row],[Produktkod]], tblProd[Produktkod], tblProd[Styckpris])</f>
        <v>210</v>
      </c>
      <c r="I25" s="2">
        <f>_xlfn.XLOOKUP(tblOrder[[#This Row],[Produktkod]], tblProd[Produktkod], tblProd[Självkostnad/st])</f>
        <v>95</v>
      </c>
      <c r="J25" s="2" t="str">
        <f>_xlfn.XLOOKUP(tblOrder[[#This Row],[Kundkod]], tblKund[Kundkod], tblKund[Kund], "Okänd kund")</f>
        <v>Nordic Parts AS</v>
      </c>
      <c r="K25" s="2">
        <f>tblOrder[[#This Row],[Antal]]*tblOrder[[#This Row],[Styckpris]]</f>
        <v>8820</v>
      </c>
      <c r="L25" s="14">
        <f>_xlfn.XLOOKUP(tblOrder[[#This Row],[Antal]], tblRabatt[Min antal], tblRabatt[Rabattsats], , -1)</f>
        <v>0</v>
      </c>
      <c r="M25" s="19">
        <f t="shared" si="0"/>
        <v>4830</v>
      </c>
    </row>
    <row r="26" spans="1:13" x14ac:dyDescent="0.25">
      <c r="A26" s="4" t="s">
        <v>113</v>
      </c>
      <c r="B26" s="8">
        <v>46035</v>
      </c>
      <c r="C26" s="4" t="s">
        <v>89</v>
      </c>
      <c r="D26" s="4" t="s">
        <v>24</v>
      </c>
      <c r="E26" s="4" t="s">
        <v>76</v>
      </c>
      <c r="F26" s="3">
        <v>35</v>
      </c>
      <c r="G26" s="2" t="str">
        <f>_xlfn.XLOOKUP(tblOrder[[#This Row],[Produktkod]], tblProd[Produktkod], tblProd[Produktnamn])</f>
        <v>Hydraulpump HP-200</v>
      </c>
      <c r="H26" s="2">
        <f>_xlfn.XLOOKUP(tblOrder[[#This Row],[Produktkod]], tblProd[Produktkod], tblProd[Styckpris])</f>
        <v>8900</v>
      </c>
      <c r="I26" s="2">
        <f>_xlfn.XLOOKUP(tblOrder[[#This Row],[Produktkod]], tblProd[Produktkod], tblProd[Självkostnad/st])</f>
        <v>5600</v>
      </c>
      <c r="J26" s="2" t="str">
        <f>_xlfn.XLOOKUP(tblOrder[[#This Row],[Kundkod]], tblKund[Kundkod], tblKund[Kund], "Okänd kund")</f>
        <v>Maskin &amp; Verktyg</v>
      </c>
      <c r="K26" s="2">
        <f>tblOrder[[#This Row],[Antal]]*tblOrder[[#This Row],[Styckpris]]</f>
        <v>311500</v>
      </c>
      <c r="L26" s="14">
        <f>_xlfn.XLOOKUP(tblOrder[[#This Row],[Antal]], tblRabatt[Min antal], tblRabatt[Rabattsats], , -1)</f>
        <v>0</v>
      </c>
      <c r="M26" s="19">
        <f t="shared" si="0"/>
        <v>115500</v>
      </c>
    </row>
    <row r="27" spans="1:13" x14ac:dyDescent="0.25">
      <c r="A27" s="4" t="s">
        <v>114</v>
      </c>
      <c r="B27" s="8">
        <v>46035</v>
      </c>
      <c r="C27" s="4" t="s">
        <v>89</v>
      </c>
      <c r="D27" s="4" t="s">
        <v>21</v>
      </c>
      <c r="E27" s="4" t="s">
        <v>59</v>
      </c>
      <c r="F27" s="3">
        <v>141</v>
      </c>
      <c r="G27" s="2" t="str">
        <f>_xlfn.XLOOKUP(tblOrder[[#This Row],[Produktkod]], tblProd[Produktkod], tblProd[Produktnamn])</f>
        <v>Hydraulcylinder HC-50</v>
      </c>
      <c r="H27" s="2">
        <f>_xlfn.XLOOKUP(tblOrder[[#This Row],[Produktkod]], tblProd[Produktkod], tblProd[Styckpris])</f>
        <v>4500</v>
      </c>
      <c r="I27" s="2">
        <f>_xlfn.XLOOKUP(tblOrder[[#This Row],[Produktkod]], tblProd[Produktkod], tblProd[Självkostnad/st])</f>
        <v>2800</v>
      </c>
      <c r="J27" s="2" t="str">
        <f>_xlfn.XLOOKUP(tblOrder[[#This Row],[Kundkod]], tblKund[Kundkod], tblKund[Kund], "Okänd kund")</f>
        <v>Kongsberg Automotive</v>
      </c>
      <c r="K27" s="2">
        <f>tblOrder[[#This Row],[Antal]]*tblOrder[[#This Row],[Styckpris]]</f>
        <v>634500</v>
      </c>
      <c r="L27" s="14">
        <f>_xlfn.XLOOKUP(tblOrder[[#This Row],[Antal]], tblRabatt[Min antal], tblRabatt[Rabattsats], , -1)</f>
        <v>0.05</v>
      </c>
      <c r="M27" s="19">
        <f t="shared" si="0"/>
        <v>239700</v>
      </c>
    </row>
    <row r="28" spans="1:13" x14ac:dyDescent="0.25">
      <c r="A28" s="4" t="s">
        <v>115</v>
      </c>
      <c r="B28" s="8">
        <v>46035</v>
      </c>
      <c r="C28" s="4" t="s">
        <v>89</v>
      </c>
      <c r="D28" s="4" t="s">
        <v>42</v>
      </c>
      <c r="E28" s="4" t="s">
        <v>62</v>
      </c>
      <c r="F28" s="3">
        <v>90</v>
      </c>
      <c r="G28" s="2" t="str">
        <f>_xlfn.XLOOKUP(tblOrder[[#This Row],[Produktkod]], tblProd[Produktkod], tblProd[Produktnamn])</f>
        <v>Lagersats LS-22</v>
      </c>
      <c r="H28" s="2">
        <f>_xlfn.XLOOKUP(tblOrder[[#This Row],[Produktkod]], tblProd[Produktkod], tblProd[Styckpris])</f>
        <v>650</v>
      </c>
      <c r="I28" s="2">
        <f>_xlfn.XLOOKUP(tblOrder[[#This Row],[Produktkod]], tblProd[Produktkod], tblProd[Självkostnad/st])</f>
        <v>380</v>
      </c>
      <c r="J28" s="2" t="str">
        <f>_xlfn.XLOOKUP(tblOrder[[#This Row],[Kundkod]], tblKund[Kundkod], tblKund[Kund], "Okänd kund")</f>
        <v>Danfoss A/S</v>
      </c>
      <c r="K28" s="2">
        <f>tblOrder[[#This Row],[Antal]]*tblOrder[[#This Row],[Styckpris]]</f>
        <v>58500</v>
      </c>
      <c r="L28" s="14">
        <f>_xlfn.XLOOKUP(tblOrder[[#This Row],[Antal]], tblRabatt[Min antal], tblRabatt[Rabattsats], , -1)</f>
        <v>0.03</v>
      </c>
      <c r="M28" s="19">
        <f t="shared" si="0"/>
        <v>24300</v>
      </c>
    </row>
    <row r="29" spans="1:13" x14ac:dyDescent="0.25">
      <c r="A29" s="4" t="s">
        <v>116</v>
      </c>
      <c r="B29" s="8">
        <v>46036</v>
      </c>
      <c r="C29" s="4" t="s">
        <v>89</v>
      </c>
      <c r="D29" s="4" t="s">
        <v>38</v>
      </c>
      <c r="E29" s="4" t="s">
        <v>68</v>
      </c>
      <c r="F29" s="3">
        <v>114</v>
      </c>
      <c r="G29" s="2" t="str">
        <f>_xlfn.XLOOKUP(tblOrder[[#This Row],[Produktkod]], tblProd[Produktkod], tblProd[Produktnamn])</f>
        <v>Sensor S-45</v>
      </c>
      <c r="H29" s="2">
        <f>_xlfn.XLOOKUP(tblOrder[[#This Row],[Produktkod]], tblProd[Produktkod], tblProd[Styckpris])</f>
        <v>2100</v>
      </c>
      <c r="I29" s="2">
        <f>_xlfn.XLOOKUP(tblOrder[[#This Row],[Produktkod]], tblProd[Produktkod], tblProd[Självkostnad/st])</f>
        <v>1180</v>
      </c>
      <c r="J29" s="2" t="str">
        <f>_xlfn.XLOOKUP(tblOrder[[#This Row],[Kundkod]], tblKund[Kundkod], tblKund[Kund], "Okänd kund")</f>
        <v>Bosch Rexroth</v>
      </c>
      <c r="K29" s="2">
        <f>tblOrder[[#This Row],[Antal]]*tblOrder[[#This Row],[Styckpris]]</f>
        <v>239400</v>
      </c>
      <c r="L29" s="14">
        <f>_xlfn.XLOOKUP(tblOrder[[#This Row],[Antal]], tblRabatt[Min antal], tblRabatt[Rabattsats], , -1)</f>
        <v>0.05</v>
      </c>
      <c r="M29" s="19">
        <f t="shared" si="0"/>
        <v>104880</v>
      </c>
    </row>
    <row r="30" spans="1:13" x14ac:dyDescent="0.25">
      <c r="A30" s="4" t="s">
        <v>117</v>
      </c>
      <c r="B30" s="8">
        <v>46036</v>
      </c>
      <c r="C30" s="4" t="s">
        <v>89</v>
      </c>
      <c r="D30" s="4" t="s">
        <v>42</v>
      </c>
      <c r="E30" s="4" t="s">
        <v>68</v>
      </c>
      <c r="F30" s="3">
        <v>46</v>
      </c>
      <c r="G30" s="2" t="str">
        <f>_xlfn.XLOOKUP(tblOrder[[#This Row],[Produktkod]], tblProd[Produktkod], tblProd[Produktnamn])</f>
        <v>Lagersats LS-22</v>
      </c>
      <c r="H30" s="2">
        <f>_xlfn.XLOOKUP(tblOrder[[#This Row],[Produktkod]], tblProd[Produktkod], tblProd[Styckpris])</f>
        <v>650</v>
      </c>
      <c r="I30" s="2">
        <f>_xlfn.XLOOKUP(tblOrder[[#This Row],[Produktkod]], tblProd[Produktkod], tblProd[Självkostnad/st])</f>
        <v>380</v>
      </c>
      <c r="J30" s="2" t="str">
        <f>_xlfn.XLOOKUP(tblOrder[[#This Row],[Kundkod]], tblKund[Kundkod], tblKund[Kund], "Okänd kund")</f>
        <v>Bosch Rexroth</v>
      </c>
      <c r="K30" s="2">
        <f>tblOrder[[#This Row],[Antal]]*tblOrder[[#This Row],[Styckpris]]</f>
        <v>29900</v>
      </c>
      <c r="L30" s="14">
        <f>_xlfn.XLOOKUP(tblOrder[[#This Row],[Antal]], tblRabatt[Min antal], tblRabatt[Rabattsats], , -1)</f>
        <v>0</v>
      </c>
      <c r="M30" s="19">
        <f t="shared" si="0"/>
        <v>12420</v>
      </c>
    </row>
    <row r="31" spans="1:13" x14ac:dyDescent="0.25">
      <c r="A31" s="4" t="s">
        <v>118</v>
      </c>
      <c r="B31" s="8">
        <v>46037</v>
      </c>
      <c r="C31" s="4" t="s">
        <v>89</v>
      </c>
      <c r="D31" s="4" t="s">
        <v>26</v>
      </c>
      <c r="E31" s="4" t="s">
        <v>62</v>
      </c>
      <c r="F31" s="3">
        <v>72</v>
      </c>
      <c r="G31" s="2" t="str">
        <f>_xlfn.XLOOKUP(tblOrder[[#This Row],[Produktkod]], tblProd[Produktkod], tblProd[Produktnamn])</f>
        <v>Ventilblock VB-30</v>
      </c>
      <c r="H31" s="2">
        <f>_xlfn.XLOOKUP(tblOrder[[#This Row],[Produktkod]], tblProd[Produktkod], tblProd[Styckpris])</f>
        <v>3200</v>
      </c>
      <c r="I31" s="2">
        <f>_xlfn.XLOOKUP(tblOrder[[#This Row],[Produktkod]], tblProd[Produktkod], tblProd[Självkostnad/st])</f>
        <v>1950</v>
      </c>
      <c r="J31" s="2" t="str">
        <f>_xlfn.XLOOKUP(tblOrder[[#This Row],[Kundkod]], tblKund[Kundkod], tblKund[Kund], "Okänd kund")</f>
        <v>Danfoss A/S</v>
      </c>
      <c r="K31" s="2">
        <f>tblOrder[[#This Row],[Antal]]*tblOrder[[#This Row],[Styckpris]]</f>
        <v>230400</v>
      </c>
      <c r="L31" s="14">
        <f>_xlfn.XLOOKUP(tblOrder[[#This Row],[Antal]], tblRabatt[Min antal], tblRabatt[Rabattsats], , -1)</f>
        <v>0.03</v>
      </c>
      <c r="M31" s="19">
        <f t="shared" si="0"/>
        <v>90000</v>
      </c>
    </row>
    <row r="32" spans="1:13" x14ac:dyDescent="0.25">
      <c r="A32" s="4" t="s">
        <v>119</v>
      </c>
      <c r="B32" s="8">
        <v>46038</v>
      </c>
      <c r="C32" s="4" t="s">
        <v>89</v>
      </c>
      <c r="D32" s="4" t="s">
        <v>47</v>
      </c>
      <c r="E32" s="4" t="s">
        <v>53</v>
      </c>
      <c r="F32" s="3">
        <v>98</v>
      </c>
      <c r="G32" s="2" t="str">
        <f>_xlfn.XLOOKUP(tblOrder[[#This Row],[Produktkod]], tblProd[Produktkod], tblProd[Produktnamn])</f>
        <v>Packningssats PS-3</v>
      </c>
      <c r="H32" s="2">
        <f>_xlfn.XLOOKUP(tblOrder[[#This Row],[Produktkod]], tblProd[Produktkod], tblProd[Styckpris])</f>
        <v>145</v>
      </c>
      <c r="I32" s="2">
        <f>_xlfn.XLOOKUP(tblOrder[[#This Row],[Produktkod]], tblProd[Produktkod], tblProd[Självkostnad/st])</f>
        <v>68</v>
      </c>
      <c r="J32" s="2" t="str">
        <f>_xlfn.XLOOKUP(tblOrder[[#This Row],[Kundkod]], tblKund[Kundkod], tblKund[Kund], "Okänd kund")</f>
        <v>Volvo Lastvagnar</v>
      </c>
      <c r="K32" s="2">
        <f>tblOrder[[#This Row],[Antal]]*tblOrder[[#This Row],[Styckpris]]</f>
        <v>14210</v>
      </c>
      <c r="L32" s="14">
        <f>_xlfn.XLOOKUP(tblOrder[[#This Row],[Antal]], tblRabatt[Min antal], tblRabatt[Rabattsats], , -1)</f>
        <v>0.03</v>
      </c>
      <c r="M32" s="19">
        <f t="shared" si="0"/>
        <v>7546</v>
      </c>
    </row>
    <row r="33" spans="1:13" x14ac:dyDescent="0.25">
      <c r="A33" s="4" t="s">
        <v>120</v>
      </c>
      <c r="B33" s="8">
        <v>46038</v>
      </c>
      <c r="C33" s="4" t="s">
        <v>89</v>
      </c>
      <c r="D33" s="4" t="s">
        <v>21</v>
      </c>
      <c r="E33" s="4" t="s">
        <v>121</v>
      </c>
      <c r="F33" s="3">
        <v>47</v>
      </c>
      <c r="G33" s="2" t="str">
        <f>_xlfn.XLOOKUP(tblOrder[[#This Row],[Produktkod]], tblProd[Produktkod], tblProd[Produktnamn])</f>
        <v>Hydraulcylinder HC-50</v>
      </c>
      <c r="H33" s="2">
        <f>_xlfn.XLOOKUP(tblOrder[[#This Row],[Produktkod]], tblProd[Produktkod], tblProd[Styckpris])</f>
        <v>4500</v>
      </c>
      <c r="I33" s="2">
        <f>_xlfn.XLOOKUP(tblOrder[[#This Row],[Produktkod]], tblProd[Produktkod], tblProd[Självkostnad/st])</f>
        <v>2800</v>
      </c>
      <c r="J33" s="2" t="str">
        <f>_xlfn.XLOOKUP(tblOrder[[#This Row],[Kundkod]], tblKund[Kundkod], tblKund[Kund], "Okänd kund")</f>
        <v>Okänd kund</v>
      </c>
      <c r="K33" s="2">
        <f>tblOrder[[#This Row],[Antal]]*tblOrder[[#This Row],[Styckpris]]</f>
        <v>211500</v>
      </c>
      <c r="L33" s="14">
        <f>_xlfn.XLOOKUP(tblOrder[[#This Row],[Antal]], tblRabatt[Min antal], tblRabatt[Rabattsats], , -1)</f>
        <v>0</v>
      </c>
      <c r="M33" s="19">
        <f t="shared" si="0"/>
        <v>79900</v>
      </c>
    </row>
    <row r="34" spans="1:13" x14ac:dyDescent="0.25">
      <c r="A34" s="4" t="s">
        <v>122</v>
      </c>
      <c r="B34" s="8">
        <v>46038</v>
      </c>
      <c r="C34" s="4" t="s">
        <v>89</v>
      </c>
      <c r="D34" s="4" t="s">
        <v>35</v>
      </c>
      <c r="E34" s="4" t="s">
        <v>79</v>
      </c>
      <c r="F34" s="3">
        <v>35</v>
      </c>
      <c r="G34" s="2" t="str">
        <f>_xlfn.XLOOKUP(tblOrder[[#This Row],[Produktkod]], tblProd[Produktkod], tblProd[Produktnamn])</f>
        <v>Styrenhet CU-X1</v>
      </c>
      <c r="H34" s="2">
        <f>_xlfn.XLOOKUP(tblOrder[[#This Row],[Produktkod]], tblProd[Produktkod], tblProd[Styckpris])</f>
        <v>12500</v>
      </c>
      <c r="I34" s="2">
        <f>_xlfn.XLOOKUP(tblOrder[[#This Row],[Produktkod]], tblProd[Produktkod], tblProd[Självkostnad/st])</f>
        <v>8200</v>
      </c>
      <c r="J34" s="2" t="str">
        <f>_xlfn.XLOOKUP(tblOrder[[#This Row],[Kundkod]], tblKund[Kundkod], tblKund[Kund], "Okänd kund")</f>
        <v>Industrikomponenter</v>
      </c>
      <c r="K34" s="2">
        <f>tblOrder[[#This Row],[Antal]]*tblOrder[[#This Row],[Styckpris]]</f>
        <v>437500</v>
      </c>
      <c r="L34" s="14">
        <f>_xlfn.XLOOKUP(tblOrder[[#This Row],[Antal]], tblRabatt[Min antal], tblRabatt[Rabattsats], , -1)</f>
        <v>0</v>
      </c>
      <c r="M34" s="19">
        <f t="shared" si="0"/>
        <v>150500</v>
      </c>
    </row>
    <row r="35" spans="1:13" x14ac:dyDescent="0.25">
      <c r="A35" s="4" t="s">
        <v>123</v>
      </c>
      <c r="B35" s="8">
        <v>46039</v>
      </c>
      <c r="C35" s="4" t="s">
        <v>89</v>
      </c>
      <c r="D35" s="4" t="s">
        <v>45</v>
      </c>
      <c r="E35" s="4" t="s">
        <v>79</v>
      </c>
      <c r="F35" s="3">
        <v>179</v>
      </c>
      <c r="G35" s="2" t="str">
        <f>_xlfn.XLOOKUP(tblOrder[[#This Row],[Produktkod]], tblProd[Produktkod], tblProd[Produktnamn])</f>
        <v>Tätningskit TK-9</v>
      </c>
      <c r="H35" s="2">
        <f>_xlfn.XLOOKUP(tblOrder[[#This Row],[Produktkod]], tblProd[Produktkod], tblProd[Styckpris])</f>
        <v>210</v>
      </c>
      <c r="I35" s="2">
        <f>_xlfn.XLOOKUP(tblOrder[[#This Row],[Produktkod]], tblProd[Produktkod], tblProd[Självkostnad/st])</f>
        <v>95</v>
      </c>
      <c r="J35" s="2" t="str">
        <f>_xlfn.XLOOKUP(tblOrder[[#This Row],[Kundkod]], tblKund[Kundkod], tblKund[Kund], "Okänd kund")</f>
        <v>Industrikomponenter</v>
      </c>
      <c r="K35" s="2">
        <f>tblOrder[[#This Row],[Antal]]*tblOrder[[#This Row],[Styckpris]]</f>
        <v>37590</v>
      </c>
      <c r="L35" s="14">
        <f>_xlfn.XLOOKUP(tblOrder[[#This Row],[Antal]], tblRabatt[Min antal], tblRabatt[Rabattsats], , -1)</f>
        <v>0.05</v>
      </c>
      <c r="M35" s="19">
        <f t="shared" si="0"/>
        <v>20585</v>
      </c>
    </row>
    <row r="36" spans="1:13" x14ac:dyDescent="0.25">
      <c r="A36" s="4" t="s">
        <v>124</v>
      </c>
      <c r="B36" s="8">
        <v>46040</v>
      </c>
      <c r="C36" s="4" t="s">
        <v>89</v>
      </c>
      <c r="D36" s="4" t="s">
        <v>47</v>
      </c>
      <c r="E36" s="4" t="s">
        <v>79</v>
      </c>
      <c r="F36" s="3">
        <v>75</v>
      </c>
      <c r="G36" s="2" t="str">
        <f>_xlfn.XLOOKUP(tblOrder[[#This Row],[Produktkod]], tblProd[Produktkod], tblProd[Produktnamn])</f>
        <v>Packningssats PS-3</v>
      </c>
      <c r="H36" s="2">
        <f>_xlfn.XLOOKUP(tblOrder[[#This Row],[Produktkod]], tblProd[Produktkod], tblProd[Styckpris])</f>
        <v>145</v>
      </c>
      <c r="I36" s="2">
        <f>_xlfn.XLOOKUP(tblOrder[[#This Row],[Produktkod]], tblProd[Produktkod], tblProd[Självkostnad/st])</f>
        <v>68</v>
      </c>
      <c r="J36" s="2" t="str">
        <f>_xlfn.XLOOKUP(tblOrder[[#This Row],[Kundkod]], tblKund[Kundkod], tblKund[Kund], "Okänd kund")</f>
        <v>Industrikomponenter</v>
      </c>
      <c r="K36" s="2">
        <f>tblOrder[[#This Row],[Antal]]*tblOrder[[#This Row],[Styckpris]]</f>
        <v>10875</v>
      </c>
      <c r="L36" s="14">
        <f>_xlfn.XLOOKUP(tblOrder[[#This Row],[Antal]], tblRabatt[Min antal], tblRabatt[Rabattsats], , -1)</f>
        <v>0.03</v>
      </c>
      <c r="M36" s="19">
        <f t="shared" si="0"/>
        <v>5775</v>
      </c>
    </row>
    <row r="37" spans="1:13" x14ac:dyDescent="0.25">
      <c r="A37" s="4" t="s">
        <v>125</v>
      </c>
      <c r="B37" s="8">
        <v>46040</v>
      </c>
      <c r="C37" s="4" t="s">
        <v>89</v>
      </c>
      <c r="D37" s="4" t="s">
        <v>45</v>
      </c>
      <c r="E37" s="4" t="s">
        <v>121</v>
      </c>
      <c r="F37" s="3">
        <v>145</v>
      </c>
      <c r="G37" s="2" t="str">
        <f>_xlfn.XLOOKUP(tblOrder[[#This Row],[Produktkod]], tblProd[Produktkod], tblProd[Produktnamn])</f>
        <v>Tätningskit TK-9</v>
      </c>
      <c r="H37" s="2">
        <f>_xlfn.XLOOKUP(tblOrder[[#This Row],[Produktkod]], tblProd[Produktkod], tblProd[Styckpris])</f>
        <v>210</v>
      </c>
      <c r="I37" s="2">
        <f>_xlfn.XLOOKUP(tblOrder[[#This Row],[Produktkod]], tblProd[Produktkod], tblProd[Självkostnad/st])</f>
        <v>95</v>
      </c>
      <c r="J37" s="2" t="str">
        <f>_xlfn.XLOOKUP(tblOrder[[#This Row],[Kundkod]], tblKund[Kundkod], tblKund[Kund], "Okänd kund")</f>
        <v>Okänd kund</v>
      </c>
      <c r="K37" s="2">
        <f>tblOrder[[#This Row],[Antal]]*tblOrder[[#This Row],[Styckpris]]</f>
        <v>30450</v>
      </c>
      <c r="L37" s="14">
        <f>_xlfn.XLOOKUP(tblOrder[[#This Row],[Antal]], tblRabatt[Min antal], tblRabatt[Rabattsats], , -1)</f>
        <v>0.05</v>
      </c>
      <c r="M37" s="19">
        <f t="shared" si="0"/>
        <v>16675</v>
      </c>
    </row>
    <row r="38" spans="1:13" x14ac:dyDescent="0.25">
      <c r="A38" s="4" t="s">
        <v>126</v>
      </c>
      <c r="B38" s="8">
        <v>46041</v>
      </c>
      <c r="C38" s="4" t="s">
        <v>89</v>
      </c>
      <c r="D38" s="4" t="s">
        <v>35</v>
      </c>
      <c r="E38" s="4" t="s">
        <v>65</v>
      </c>
      <c r="F38" s="3">
        <v>590</v>
      </c>
      <c r="G38" s="2" t="str">
        <f>_xlfn.XLOOKUP(tblOrder[[#This Row],[Produktkod]], tblProd[Produktkod], tblProd[Produktnamn])</f>
        <v>Styrenhet CU-X1</v>
      </c>
      <c r="H38" s="2">
        <f>_xlfn.XLOOKUP(tblOrder[[#This Row],[Produktkod]], tblProd[Produktkod], tblProd[Styckpris])</f>
        <v>12500</v>
      </c>
      <c r="I38" s="2">
        <f>_xlfn.XLOOKUP(tblOrder[[#This Row],[Produktkod]], tblProd[Produktkod], tblProd[Självkostnad/st])</f>
        <v>8200</v>
      </c>
      <c r="J38" s="2" t="str">
        <f>_xlfn.XLOOKUP(tblOrder[[#This Row],[Kundkod]], tblKund[Kundkod], tblKund[Kund], "Okänd kund")</f>
        <v>Wärtsilä</v>
      </c>
      <c r="K38" s="2">
        <f>tblOrder[[#This Row],[Antal]]*tblOrder[[#This Row],[Styckpris]]</f>
        <v>7375000</v>
      </c>
      <c r="L38" s="14">
        <f>_xlfn.XLOOKUP(tblOrder[[#This Row],[Antal]], tblRabatt[Min antal], tblRabatt[Rabattsats], , -1)</f>
        <v>0.12</v>
      </c>
      <c r="M38" s="19">
        <f t="shared" si="0"/>
        <v>2537000</v>
      </c>
    </row>
    <row r="39" spans="1:13" x14ac:dyDescent="0.25">
      <c r="A39" s="4" t="s">
        <v>127</v>
      </c>
      <c r="B39" s="8">
        <v>46041</v>
      </c>
      <c r="C39" s="4" t="s">
        <v>89</v>
      </c>
      <c r="D39" s="4" t="s">
        <v>38</v>
      </c>
      <c r="E39" s="4" t="s">
        <v>79</v>
      </c>
      <c r="F39" s="3">
        <v>200</v>
      </c>
      <c r="G39" s="2" t="str">
        <f>_xlfn.XLOOKUP(tblOrder[[#This Row],[Produktkod]], tblProd[Produktkod], tblProd[Produktnamn])</f>
        <v>Sensor S-45</v>
      </c>
      <c r="H39" s="2">
        <f>_xlfn.XLOOKUP(tblOrder[[#This Row],[Produktkod]], tblProd[Produktkod], tblProd[Styckpris])</f>
        <v>2100</v>
      </c>
      <c r="I39" s="2">
        <f>_xlfn.XLOOKUP(tblOrder[[#This Row],[Produktkod]], tblProd[Produktkod], tblProd[Självkostnad/st])</f>
        <v>1180</v>
      </c>
      <c r="J39" s="2" t="str">
        <f>_xlfn.XLOOKUP(tblOrder[[#This Row],[Kundkod]], tblKund[Kundkod], tblKund[Kund], "Okänd kund")</f>
        <v>Industrikomponenter</v>
      </c>
      <c r="K39" s="2">
        <f>tblOrder[[#This Row],[Antal]]*tblOrder[[#This Row],[Styckpris]]</f>
        <v>420000</v>
      </c>
      <c r="L39" s="14">
        <f>_xlfn.XLOOKUP(tblOrder[[#This Row],[Antal]], tblRabatt[Min antal], tblRabatt[Rabattsats], , -1)</f>
        <v>0.05</v>
      </c>
      <c r="M39" s="19">
        <f t="shared" si="0"/>
        <v>184000</v>
      </c>
    </row>
    <row r="40" spans="1:13" x14ac:dyDescent="0.25">
      <c r="A40" s="4" t="s">
        <v>128</v>
      </c>
      <c r="B40" s="8">
        <v>46042</v>
      </c>
      <c r="C40" s="4" t="s">
        <v>89</v>
      </c>
      <c r="D40" s="4" t="s">
        <v>35</v>
      </c>
      <c r="E40" s="4" t="s">
        <v>79</v>
      </c>
      <c r="F40" s="3">
        <v>244</v>
      </c>
      <c r="G40" s="2" t="str">
        <f>_xlfn.XLOOKUP(tblOrder[[#This Row],[Produktkod]], tblProd[Produktkod], tblProd[Produktnamn])</f>
        <v>Styrenhet CU-X1</v>
      </c>
      <c r="H40" s="2">
        <f>_xlfn.XLOOKUP(tblOrder[[#This Row],[Produktkod]], tblProd[Produktkod], tblProd[Styckpris])</f>
        <v>12500</v>
      </c>
      <c r="I40" s="2">
        <f>_xlfn.XLOOKUP(tblOrder[[#This Row],[Produktkod]], tblProd[Produktkod], tblProd[Självkostnad/st])</f>
        <v>8200</v>
      </c>
      <c r="J40" s="2" t="str">
        <f>_xlfn.XLOOKUP(tblOrder[[#This Row],[Kundkod]], tblKund[Kundkod], tblKund[Kund], "Okänd kund")</f>
        <v>Industrikomponenter</v>
      </c>
      <c r="K40" s="2">
        <f>tblOrder[[#This Row],[Antal]]*tblOrder[[#This Row],[Styckpris]]</f>
        <v>3050000</v>
      </c>
      <c r="L40" s="14">
        <f>_xlfn.XLOOKUP(tblOrder[[#This Row],[Antal]], tblRabatt[Min antal], tblRabatt[Rabattsats], , -1)</f>
        <v>0.05</v>
      </c>
      <c r="M40" s="19">
        <f t="shared" si="0"/>
        <v>1049200</v>
      </c>
    </row>
    <row r="41" spans="1:13" x14ac:dyDescent="0.25">
      <c r="A41" s="4" t="s">
        <v>129</v>
      </c>
      <c r="B41" s="8">
        <v>46043</v>
      </c>
      <c r="C41" s="4" t="s">
        <v>89</v>
      </c>
      <c r="D41" s="4" t="s">
        <v>40</v>
      </c>
      <c r="E41" s="4" t="s">
        <v>62</v>
      </c>
      <c r="F41" s="3">
        <v>104</v>
      </c>
      <c r="G41" s="2" t="str">
        <f>_xlfn.XLOOKUP(tblOrder[[#This Row],[Produktkod]], tblProd[Produktkod], tblProd[Produktnamn])</f>
        <v>Kabelhärva KH-7</v>
      </c>
      <c r="H41" s="2">
        <f>_xlfn.XLOOKUP(tblOrder[[#This Row],[Produktkod]], tblProd[Produktkod], tblProd[Styckpris])</f>
        <v>890</v>
      </c>
      <c r="I41" s="2">
        <f>_xlfn.XLOOKUP(tblOrder[[#This Row],[Produktkod]], tblProd[Produktkod], tblProd[Självkostnad/st])</f>
        <v>510</v>
      </c>
      <c r="J41" s="2" t="str">
        <f>_xlfn.XLOOKUP(tblOrder[[#This Row],[Kundkod]], tblKund[Kundkod], tblKund[Kund], "Okänd kund")</f>
        <v>Danfoss A/S</v>
      </c>
      <c r="K41" s="2">
        <f>tblOrder[[#This Row],[Antal]]*tblOrder[[#This Row],[Styckpris]]</f>
        <v>92560</v>
      </c>
      <c r="L41" s="14">
        <f>_xlfn.XLOOKUP(tblOrder[[#This Row],[Antal]], tblRabatt[Min antal], tblRabatt[Rabattsats], , -1)</f>
        <v>0.05</v>
      </c>
      <c r="M41" s="19">
        <f t="shared" si="0"/>
        <v>39520</v>
      </c>
    </row>
    <row r="42" spans="1:13" x14ac:dyDescent="0.25">
      <c r="A42" s="4" t="s">
        <v>130</v>
      </c>
      <c r="B42" s="8">
        <v>46043</v>
      </c>
      <c r="C42" s="4" t="s">
        <v>89</v>
      </c>
      <c r="D42" s="4" t="s">
        <v>33</v>
      </c>
      <c r="E42" s="4" t="s">
        <v>76</v>
      </c>
      <c r="F42" s="3">
        <v>155</v>
      </c>
      <c r="G42" s="2" t="str">
        <f>_xlfn.XLOOKUP(tblOrder[[#This Row],[Produktkod]], tblProd[Produktkod], tblProd[Produktnamn])</f>
        <v>Skruvkit SK-100</v>
      </c>
      <c r="H42" s="2">
        <f>_xlfn.XLOOKUP(tblOrder[[#This Row],[Produktkod]], tblProd[Produktkod], tblProd[Styckpris])</f>
        <v>320</v>
      </c>
      <c r="I42" s="2">
        <f>_xlfn.XLOOKUP(tblOrder[[#This Row],[Produktkod]], tblProd[Produktkod], tblProd[Självkostnad/st])</f>
        <v>165</v>
      </c>
      <c r="J42" s="2" t="str">
        <f>_xlfn.XLOOKUP(tblOrder[[#This Row],[Kundkod]], tblKund[Kundkod], tblKund[Kund], "Okänd kund")</f>
        <v>Maskin &amp; Verktyg</v>
      </c>
      <c r="K42" s="2">
        <f>tblOrder[[#This Row],[Antal]]*tblOrder[[#This Row],[Styckpris]]</f>
        <v>49600</v>
      </c>
      <c r="L42" s="14">
        <f>_xlfn.XLOOKUP(tblOrder[[#This Row],[Antal]], tblRabatt[Min antal], tblRabatt[Rabattsats], , -1)</f>
        <v>0.05</v>
      </c>
      <c r="M42" s="19">
        <f t="shared" si="0"/>
        <v>24025</v>
      </c>
    </row>
    <row r="43" spans="1:13" x14ac:dyDescent="0.25">
      <c r="A43" s="4" t="s">
        <v>131</v>
      </c>
      <c r="B43" s="8">
        <v>46043</v>
      </c>
      <c r="C43" s="4" t="s">
        <v>89</v>
      </c>
      <c r="D43" s="4" t="s">
        <v>47</v>
      </c>
      <c r="E43" s="4" t="s">
        <v>132</v>
      </c>
      <c r="F43" s="3">
        <v>40</v>
      </c>
      <c r="G43" s="2" t="str">
        <f>_xlfn.XLOOKUP(tblOrder[[#This Row],[Produktkod]], tblProd[Produktkod], tblProd[Produktnamn])</f>
        <v>Packningssats PS-3</v>
      </c>
      <c r="H43" s="2">
        <f>_xlfn.XLOOKUP(tblOrder[[#This Row],[Produktkod]], tblProd[Produktkod], tblProd[Styckpris])</f>
        <v>145</v>
      </c>
      <c r="I43" s="2">
        <f>_xlfn.XLOOKUP(tblOrder[[#This Row],[Produktkod]], tblProd[Produktkod], tblProd[Självkostnad/st])</f>
        <v>68</v>
      </c>
      <c r="J43" s="2" t="str">
        <f>_xlfn.XLOOKUP(tblOrder[[#This Row],[Kundkod]], tblKund[Kundkod], tblKund[Kund], "Okänd kund")</f>
        <v>Okänd kund</v>
      </c>
      <c r="K43" s="2">
        <f>tblOrder[[#This Row],[Antal]]*tblOrder[[#This Row],[Styckpris]]</f>
        <v>5800</v>
      </c>
      <c r="L43" s="14">
        <f>_xlfn.XLOOKUP(tblOrder[[#This Row],[Antal]], tblRabatt[Min antal], tblRabatt[Rabattsats], , -1)</f>
        <v>0</v>
      </c>
      <c r="M43" s="19">
        <f t="shared" si="0"/>
        <v>3080</v>
      </c>
    </row>
    <row r="44" spans="1:13" x14ac:dyDescent="0.25">
      <c r="A44" s="4" t="s">
        <v>133</v>
      </c>
      <c r="B44" s="8">
        <v>46044</v>
      </c>
      <c r="C44" s="4" t="s">
        <v>89</v>
      </c>
      <c r="D44" s="4" t="s">
        <v>26</v>
      </c>
      <c r="E44" s="4" t="s">
        <v>57</v>
      </c>
      <c r="F44" s="3">
        <v>59</v>
      </c>
      <c r="G44" s="2" t="str">
        <f>_xlfn.XLOOKUP(tblOrder[[#This Row],[Produktkod]], tblProd[Produktkod], tblProd[Produktnamn])</f>
        <v>Ventilblock VB-30</v>
      </c>
      <c r="H44" s="2">
        <f>_xlfn.XLOOKUP(tblOrder[[#This Row],[Produktkod]], tblProd[Produktkod], tblProd[Styckpris])</f>
        <v>3200</v>
      </c>
      <c r="I44" s="2">
        <f>_xlfn.XLOOKUP(tblOrder[[#This Row],[Produktkod]], tblProd[Produktkod], tblProd[Självkostnad/st])</f>
        <v>1950</v>
      </c>
      <c r="J44" s="2" t="str">
        <f>_xlfn.XLOOKUP(tblOrder[[#This Row],[Kundkod]], tblKund[Kundkod], tblKund[Kund], "Okänd kund")</f>
        <v>Scania CV</v>
      </c>
      <c r="K44" s="2">
        <f>tblOrder[[#This Row],[Antal]]*tblOrder[[#This Row],[Styckpris]]</f>
        <v>188800</v>
      </c>
      <c r="L44" s="14">
        <f>_xlfn.XLOOKUP(tblOrder[[#This Row],[Antal]], tblRabatt[Min antal], tblRabatt[Rabattsats], , -1)</f>
        <v>0.03</v>
      </c>
      <c r="M44" s="19">
        <f t="shared" si="0"/>
        <v>73750</v>
      </c>
    </row>
    <row r="45" spans="1:13" x14ac:dyDescent="0.25">
      <c r="A45" s="4" t="s">
        <v>134</v>
      </c>
      <c r="B45" s="8">
        <v>46044</v>
      </c>
      <c r="C45" s="4" t="s">
        <v>89</v>
      </c>
      <c r="D45" s="4" t="s">
        <v>35</v>
      </c>
      <c r="E45" s="4" t="s">
        <v>62</v>
      </c>
      <c r="F45" s="3">
        <v>157</v>
      </c>
      <c r="G45" s="2" t="str">
        <f>_xlfn.XLOOKUP(tblOrder[[#This Row],[Produktkod]], tblProd[Produktkod], tblProd[Produktnamn])</f>
        <v>Styrenhet CU-X1</v>
      </c>
      <c r="H45" s="2">
        <f>_xlfn.XLOOKUP(tblOrder[[#This Row],[Produktkod]], tblProd[Produktkod], tblProd[Styckpris])</f>
        <v>12500</v>
      </c>
      <c r="I45" s="2">
        <f>_xlfn.XLOOKUP(tblOrder[[#This Row],[Produktkod]], tblProd[Produktkod], tblProd[Självkostnad/st])</f>
        <v>8200</v>
      </c>
      <c r="J45" s="2" t="str">
        <f>_xlfn.XLOOKUP(tblOrder[[#This Row],[Kundkod]], tblKund[Kundkod], tblKund[Kund], "Okänd kund")</f>
        <v>Danfoss A/S</v>
      </c>
      <c r="K45" s="2">
        <f>tblOrder[[#This Row],[Antal]]*tblOrder[[#This Row],[Styckpris]]</f>
        <v>1962500</v>
      </c>
      <c r="L45" s="14">
        <f>_xlfn.XLOOKUP(tblOrder[[#This Row],[Antal]], tblRabatt[Min antal], tblRabatt[Rabattsats], , -1)</f>
        <v>0.05</v>
      </c>
      <c r="M45" s="19">
        <f t="shared" si="0"/>
        <v>675100</v>
      </c>
    </row>
    <row r="46" spans="1:13" x14ac:dyDescent="0.25">
      <c r="A46" s="4" t="s">
        <v>135</v>
      </c>
      <c r="B46" s="8">
        <v>46044</v>
      </c>
      <c r="C46" s="4" t="s">
        <v>89</v>
      </c>
      <c r="D46" s="4" t="s">
        <v>24</v>
      </c>
      <c r="E46" s="4" t="s">
        <v>59</v>
      </c>
      <c r="F46" s="3">
        <v>84</v>
      </c>
      <c r="G46" s="2" t="str">
        <f>_xlfn.XLOOKUP(tblOrder[[#This Row],[Produktkod]], tblProd[Produktkod], tblProd[Produktnamn])</f>
        <v>Hydraulpump HP-200</v>
      </c>
      <c r="H46" s="2">
        <f>_xlfn.XLOOKUP(tblOrder[[#This Row],[Produktkod]], tblProd[Produktkod], tblProd[Styckpris])</f>
        <v>8900</v>
      </c>
      <c r="I46" s="2">
        <f>_xlfn.XLOOKUP(tblOrder[[#This Row],[Produktkod]], tblProd[Produktkod], tblProd[Självkostnad/st])</f>
        <v>5600</v>
      </c>
      <c r="J46" s="2" t="str">
        <f>_xlfn.XLOOKUP(tblOrder[[#This Row],[Kundkod]], tblKund[Kundkod], tblKund[Kund], "Okänd kund")</f>
        <v>Kongsberg Automotive</v>
      </c>
      <c r="K46" s="2">
        <f>tblOrder[[#This Row],[Antal]]*tblOrder[[#This Row],[Styckpris]]</f>
        <v>747600</v>
      </c>
      <c r="L46" s="14">
        <f>_xlfn.XLOOKUP(tblOrder[[#This Row],[Antal]], tblRabatt[Min antal], tblRabatt[Rabattsats], , -1)</f>
        <v>0.03</v>
      </c>
      <c r="M46" s="19">
        <f t="shared" si="0"/>
        <v>277200</v>
      </c>
    </row>
    <row r="47" spans="1:13" x14ac:dyDescent="0.25">
      <c r="A47" s="4" t="s">
        <v>136</v>
      </c>
      <c r="B47" s="8">
        <v>46045</v>
      </c>
      <c r="C47" s="4" t="s">
        <v>89</v>
      </c>
      <c r="D47" s="4" t="s">
        <v>33</v>
      </c>
      <c r="E47" s="4" t="s">
        <v>65</v>
      </c>
      <c r="F47" s="3">
        <v>135</v>
      </c>
      <c r="G47" s="2" t="str">
        <f>_xlfn.XLOOKUP(tblOrder[[#This Row],[Produktkod]], tblProd[Produktkod], tblProd[Produktnamn])</f>
        <v>Skruvkit SK-100</v>
      </c>
      <c r="H47" s="2">
        <f>_xlfn.XLOOKUP(tblOrder[[#This Row],[Produktkod]], tblProd[Produktkod], tblProd[Styckpris])</f>
        <v>320</v>
      </c>
      <c r="I47" s="2">
        <f>_xlfn.XLOOKUP(tblOrder[[#This Row],[Produktkod]], tblProd[Produktkod], tblProd[Självkostnad/st])</f>
        <v>165</v>
      </c>
      <c r="J47" s="2" t="str">
        <f>_xlfn.XLOOKUP(tblOrder[[#This Row],[Kundkod]], tblKund[Kundkod], tblKund[Kund], "Okänd kund")</f>
        <v>Wärtsilä</v>
      </c>
      <c r="K47" s="2">
        <f>tblOrder[[#This Row],[Antal]]*tblOrder[[#This Row],[Styckpris]]</f>
        <v>43200</v>
      </c>
      <c r="L47" s="14">
        <f>_xlfn.XLOOKUP(tblOrder[[#This Row],[Antal]], tblRabatt[Min antal], tblRabatt[Rabattsats], , -1)</f>
        <v>0.05</v>
      </c>
      <c r="M47" s="19">
        <f t="shared" si="0"/>
        <v>20925</v>
      </c>
    </row>
    <row r="48" spans="1:13" x14ac:dyDescent="0.25">
      <c r="A48" s="4" t="s">
        <v>137</v>
      </c>
      <c r="B48" s="8">
        <v>46046</v>
      </c>
      <c r="C48" s="4" t="s">
        <v>89</v>
      </c>
      <c r="D48" s="4" t="s">
        <v>21</v>
      </c>
      <c r="E48" s="4" t="s">
        <v>74</v>
      </c>
      <c r="F48" s="3">
        <v>75</v>
      </c>
      <c r="G48" s="2" t="str">
        <f>_xlfn.XLOOKUP(tblOrder[[#This Row],[Produktkod]], tblProd[Produktkod], tblProd[Produktnamn])</f>
        <v>Hydraulcylinder HC-50</v>
      </c>
      <c r="H48" s="2">
        <f>_xlfn.XLOOKUP(tblOrder[[#This Row],[Produktkod]], tblProd[Produktkod], tblProd[Styckpris])</f>
        <v>4500</v>
      </c>
      <c r="I48" s="2">
        <f>_xlfn.XLOOKUP(tblOrder[[#This Row],[Produktkod]], tblProd[Produktkod], tblProd[Självkostnad/st])</f>
        <v>2800</v>
      </c>
      <c r="J48" s="2" t="str">
        <f>_xlfn.XLOOKUP(tblOrder[[#This Row],[Kundkod]], tblKund[Kundkod], tblKund[Kund], "Okänd kund")</f>
        <v>Nordic Parts AS</v>
      </c>
      <c r="K48" s="2">
        <f>tblOrder[[#This Row],[Antal]]*tblOrder[[#This Row],[Styckpris]]</f>
        <v>337500</v>
      </c>
      <c r="L48" s="14">
        <f>_xlfn.XLOOKUP(tblOrder[[#This Row],[Antal]], tblRabatt[Min antal], tblRabatt[Rabattsats], , -1)</f>
        <v>0.03</v>
      </c>
      <c r="M48" s="19">
        <f t="shared" si="0"/>
        <v>127500</v>
      </c>
    </row>
    <row r="49" spans="1:13" x14ac:dyDescent="0.25">
      <c r="A49" s="4" t="s">
        <v>138</v>
      </c>
      <c r="B49" s="8">
        <v>46046</v>
      </c>
      <c r="C49" s="4" t="s">
        <v>89</v>
      </c>
      <c r="D49" s="4" t="s">
        <v>31</v>
      </c>
      <c r="E49" s="4" t="s">
        <v>59</v>
      </c>
      <c r="F49" s="3">
        <v>96</v>
      </c>
      <c r="G49" s="2" t="str">
        <f>_xlfn.XLOOKUP(tblOrder[[#This Row],[Produktkod]], tblProd[Produktkod], tblProd[Produktnamn])</f>
        <v>Fästplatta FP-A4</v>
      </c>
      <c r="H49" s="2">
        <f>_xlfn.XLOOKUP(tblOrder[[#This Row],[Produktkod]], tblProd[Produktkod], tblProd[Styckpris])</f>
        <v>480</v>
      </c>
      <c r="I49" s="2">
        <f>_xlfn.XLOOKUP(tblOrder[[#This Row],[Produktkod]], tblProd[Produktkod], tblProd[Självkostnad/st])</f>
        <v>260</v>
      </c>
      <c r="J49" s="2" t="str">
        <f>_xlfn.XLOOKUP(tblOrder[[#This Row],[Kundkod]], tblKund[Kundkod], tblKund[Kund], "Okänd kund")</f>
        <v>Kongsberg Automotive</v>
      </c>
      <c r="K49" s="2">
        <f>tblOrder[[#This Row],[Antal]]*tblOrder[[#This Row],[Styckpris]]</f>
        <v>46080</v>
      </c>
      <c r="L49" s="14">
        <f>_xlfn.XLOOKUP(tblOrder[[#This Row],[Antal]], tblRabatt[Min antal], tblRabatt[Rabattsats], , -1)</f>
        <v>0.03</v>
      </c>
      <c r="M49" s="19">
        <f t="shared" si="0"/>
        <v>21120</v>
      </c>
    </row>
    <row r="50" spans="1:13" x14ac:dyDescent="0.25">
      <c r="A50" s="4" t="s">
        <v>139</v>
      </c>
      <c r="B50" s="8">
        <v>46046</v>
      </c>
      <c r="C50" s="4" t="s">
        <v>89</v>
      </c>
      <c r="D50" s="4" t="s">
        <v>31</v>
      </c>
      <c r="E50" s="4" t="s">
        <v>62</v>
      </c>
      <c r="F50" s="3">
        <v>16</v>
      </c>
      <c r="G50" s="2" t="str">
        <f>_xlfn.XLOOKUP(tblOrder[[#This Row],[Produktkod]], tblProd[Produktkod], tblProd[Produktnamn])</f>
        <v>Fästplatta FP-A4</v>
      </c>
      <c r="H50" s="2">
        <f>_xlfn.XLOOKUP(tblOrder[[#This Row],[Produktkod]], tblProd[Produktkod], tblProd[Styckpris])</f>
        <v>480</v>
      </c>
      <c r="I50" s="2">
        <f>_xlfn.XLOOKUP(tblOrder[[#This Row],[Produktkod]], tblProd[Produktkod], tblProd[Självkostnad/st])</f>
        <v>260</v>
      </c>
      <c r="J50" s="2" t="str">
        <f>_xlfn.XLOOKUP(tblOrder[[#This Row],[Kundkod]], tblKund[Kundkod], tblKund[Kund], "Okänd kund")</f>
        <v>Danfoss A/S</v>
      </c>
      <c r="K50" s="2">
        <f>tblOrder[[#This Row],[Antal]]*tblOrder[[#This Row],[Styckpris]]</f>
        <v>7680</v>
      </c>
      <c r="L50" s="14">
        <f>_xlfn.XLOOKUP(tblOrder[[#This Row],[Antal]], tblRabatt[Min antal], tblRabatt[Rabattsats], , -1)</f>
        <v>0</v>
      </c>
      <c r="M50" s="19">
        <f t="shared" si="0"/>
        <v>3520</v>
      </c>
    </row>
    <row r="51" spans="1:13" x14ac:dyDescent="0.25">
      <c r="A51" s="4" t="s">
        <v>140</v>
      </c>
      <c r="B51" s="8">
        <v>46047</v>
      </c>
      <c r="C51" s="4" t="s">
        <v>89</v>
      </c>
      <c r="D51" s="4" t="s">
        <v>33</v>
      </c>
      <c r="E51" s="4" t="s">
        <v>57</v>
      </c>
      <c r="F51" s="3">
        <v>105</v>
      </c>
      <c r="G51" s="2" t="str">
        <f>_xlfn.XLOOKUP(tblOrder[[#This Row],[Produktkod]], tblProd[Produktkod], tblProd[Produktnamn])</f>
        <v>Skruvkit SK-100</v>
      </c>
      <c r="H51" s="2">
        <f>_xlfn.XLOOKUP(tblOrder[[#This Row],[Produktkod]], tblProd[Produktkod], tblProd[Styckpris])</f>
        <v>320</v>
      </c>
      <c r="I51" s="2">
        <f>_xlfn.XLOOKUP(tblOrder[[#This Row],[Produktkod]], tblProd[Produktkod], tblProd[Självkostnad/st])</f>
        <v>165</v>
      </c>
      <c r="J51" s="2" t="str">
        <f>_xlfn.XLOOKUP(tblOrder[[#This Row],[Kundkod]], tblKund[Kundkod], tblKund[Kund], "Okänd kund")</f>
        <v>Scania CV</v>
      </c>
      <c r="K51" s="2">
        <f>tblOrder[[#This Row],[Antal]]*tblOrder[[#This Row],[Styckpris]]</f>
        <v>33600</v>
      </c>
      <c r="L51" s="14">
        <f>_xlfn.XLOOKUP(tblOrder[[#This Row],[Antal]], tblRabatt[Min antal], tblRabatt[Rabattsats], , -1)</f>
        <v>0.05</v>
      </c>
      <c r="M51" s="19">
        <f t="shared" si="0"/>
        <v>16275</v>
      </c>
    </row>
    <row r="52" spans="1:13" x14ac:dyDescent="0.25">
      <c r="A52" s="4" t="s">
        <v>141</v>
      </c>
      <c r="B52" s="8">
        <v>46047</v>
      </c>
      <c r="C52" s="4" t="s">
        <v>89</v>
      </c>
      <c r="D52" s="4" t="s">
        <v>45</v>
      </c>
      <c r="E52" s="4" t="s">
        <v>79</v>
      </c>
      <c r="F52" s="3">
        <v>168</v>
      </c>
      <c r="G52" s="2" t="str">
        <f>_xlfn.XLOOKUP(tblOrder[[#This Row],[Produktkod]], tblProd[Produktkod], tblProd[Produktnamn])</f>
        <v>Tätningskit TK-9</v>
      </c>
      <c r="H52" s="2">
        <f>_xlfn.XLOOKUP(tblOrder[[#This Row],[Produktkod]], tblProd[Produktkod], tblProd[Styckpris])</f>
        <v>210</v>
      </c>
      <c r="I52" s="2">
        <f>_xlfn.XLOOKUP(tblOrder[[#This Row],[Produktkod]], tblProd[Produktkod], tblProd[Självkostnad/st])</f>
        <v>95</v>
      </c>
      <c r="J52" s="2" t="str">
        <f>_xlfn.XLOOKUP(tblOrder[[#This Row],[Kundkod]], tblKund[Kundkod], tblKund[Kund], "Okänd kund")</f>
        <v>Industrikomponenter</v>
      </c>
      <c r="K52" s="2">
        <f>tblOrder[[#This Row],[Antal]]*tblOrder[[#This Row],[Styckpris]]</f>
        <v>35280</v>
      </c>
      <c r="L52" s="14">
        <f>_xlfn.XLOOKUP(tblOrder[[#This Row],[Antal]], tblRabatt[Min antal], tblRabatt[Rabattsats], , -1)</f>
        <v>0.05</v>
      </c>
      <c r="M52" s="19">
        <f t="shared" si="0"/>
        <v>19320</v>
      </c>
    </row>
    <row r="53" spans="1:13" x14ac:dyDescent="0.25">
      <c r="A53" s="4" t="s">
        <v>142</v>
      </c>
      <c r="B53" s="8">
        <v>46049</v>
      </c>
      <c r="C53" s="4" t="s">
        <v>89</v>
      </c>
      <c r="D53" s="4" t="s">
        <v>35</v>
      </c>
      <c r="E53" s="4" t="s">
        <v>65</v>
      </c>
      <c r="F53" s="3">
        <v>239</v>
      </c>
      <c r="G53" s="2" t="str">
        <f>_xlfn.XLOOKUP(tblOrder[[#This Row],[Produktkod]], tblProd[Produktkod], tblProd[Produktnamn])</f>
        <v>Styrenhet CU-X1</v>
      </c>
      <c r="H53" s="2">
        <f>_xlfn.XLOOKUP(tblOrder[[#This Row],[Produktkod]], tblProd[Produktkod], tblProd[Styckpris])</f>
        <v>12500</v>
      </c>
      <c r="I53" s="2">
        <f>_xlfn.XLOOKUP(tblOrder[[#This Row],[Produktkod]], tblProd[Produktkod], tblProd[Självkostnad/st])</f>
        <v>8200</v>
      </c>
      <c r="J53" s="2" t="str">
        <f>_xlfn.XLOOKUP(tblOrder[[#This Row],[Kundkod]], tblKund[Kundkod], tblKund[Kund], "Okänd kund")</f>
        <v>Wärtsilä</v>
      </c>
      <c r="K53" s="2">
        <f>tblOrder[[#This Row],[Antal]]*tblOrder[[#This Row],[Styckpris]]</f>
        <v>2987500</v>
      </c>
      <c r="L53" s="14">
        <f>_xlfn.XLOOKUP(tblOrder[[#This Row],[Antal]], tblRabatt[Min antal], tblRabatt[Rabattsats], , -1)</f>
        <v>0.05</v>
      </c>
      <c r="M53" s="19">
        <f t="shared" si="0"/>
        <v>1027700</v>
      </c>
    </row>
    <row r="54" spans="1:13" x14ac:dyDescent="0.25">
      <c r="A54" s="4" t="s">
        <v>143</v>
      </c>
      <c r="B54" s="8">
        <v>46049</v>
      </c>
      <c r="C54" s="4" t="s">
        <v>89</v>
      </c>
      <c r="D54" s="4" t="s">
        <v>33</v>
      </c>
      <c r="E54" s="4" t="s">
        <v>76</v>
      </c>
      <c r="F54" s="3">
        <v>37</v>
      </c>
      <c r="G54" s="2" t="str">
        <f>_xlfn.XLOOKUP(tblOrder[[#This Row],[Produktkod]], tblProd[Produktkod], tblProd[Produktnamn])</f>
        <v>Skruvkit SK-100</v>
      </c>
      <c r="H54" s="2">
        <f>_xlfn.XLOOKUP(tblOrder[[#This Row],[Produktkod]], tblProd[Produktkod], tblProd[Styckpris])</f>
        <v>320</v>
      </c>
      <c r="I54" s="2">
        <f>_xlfn.XLOOKUP(tblOrder[[#This Row],[Produktkod]], tblProd[Produktkod], tblProd[Självkostnad/st])</f>
        <v>165</v>
      </c>
      <c r="J54" s="2" t="str">
        <f>_xlfn.XLOOKUP(tblOrder[[#This Row],[Kundkod]], tblKund[Kundkod], tblKund[Kund], "Okänd kund")</f>
        <v>Maskin &amp; Verktyg</v>
      </c>
      <c r="K54" s="2">
        <f>tblOrder[[#This Row],[Antal]]*tblOrder[[#This Row],[Styckpris]]</f>
        <v>11840</v>
      </c>
      <c r="L54" s="14">
        <f>_xlfn.XLOOKUP(tblOrder[[#This Row],[Antal]], tblRabatt[Min antal], tblRabatt[Rabattsats], , -1)</f>
        <v>0</v>
      </c>
      <c r="M54" s="19">
        <f t="shared" si="0"/>
        <v>5735</v>
      </c>
    </row>
    <row r="55" spans="1:13" x14ac:dyDescent="0.25">
      <c r="A55" s="4" t="s">
        <v>144</v>
      </c>
      <c r="B55" s="8">
        <v>46049</v>
      </c>
      <c r="C55" s="4" t="s">
        <v>89</v>
      </c>
      <c r="D55" s="4" t="s">
        <v>38</v>
      </c>
      <c r="E55" s="4" t="s">
        <v>65</v>
      </c>
      <c r="F55" s="3">
        <v>77</v>
      </c>
      <c r="G55" s="2" t="str">
        <f>_xlfn.XLOOKUP(tblOrder[[#This Row],[Produktkod]], tblProd[Produktkod], tblProd[Produktnamn])</f>
        <v>Sensor S-45</v>
      </c>
      <c r="H55" s="2">
        <f>_xlfn.XLOOKUP(tblOrder[[#This Row],[Produktkod]], tblProd[Produktkod], tblProd[Styckpris])</f>
        <v>2100</v>
      </c>
      <c r="I55" s="2">
        <f>_xlfn.XLOOKUP(tblOrder[[#This Row],[Produktkod]], tblProd[Produktkod], tblProd[Självkostnad/st])</f>
        <v>1180</v>
      </c>
      <c r="J55" s="2" t="str">
        <f>_xlfn.XLOOKUP(tblOrder[[#This Row],[Kundkod]], tblKund[Kundkod], tblKund[Kund], "Okänd kund")</f>
        <v>Wärtsilä</v>
      </c>
      <c r="K55" s="2">
        <f>tblOrder[[#This Row],[Antal]]*tblOrder[[#This Row],[Styckpris]]</f>
        <v>161700</v>
      </c>
      <c r="L55" s="14">
        <f>_xlfn.XLOOKUP(tblOrder[[#This Row],[Antal]], tblRabatt[Min antal], tblRabatt[Rabattsats], , -1)</f>
        <v>0.03</v>
      </c>
      <c r="M55" s="19">
        <f t="shared" si="0"/>
        <v>70840</v>
      </c>
    </row>
    <row r="56" spans="1:13" x14ac:dyDescent="0.25">
      <c r="A56" s="4" t="s">
        <v>145</v>
      </c>
      <c r="B56" s="8">
        <v>46050</v>
      </c>
      <c r="C56" s="4" t="s">
        <v>89</v>
      </c>
      <c r="D56" s="4" t="s">
        <v>24</v>
      </c>
      <c r="E56" s="4" t="s">
        <v>68</v>
      </c>
      <c r="F56" s="3">
        <v>90</v>
      </c>
      <c r="G56" s="2" t="str">
        <f>_xlfn.XLOOKUP(tblOrder[[#This Row],[Produktkod]], tblProd[Produktkod], tblProd[Produktnamn])</f>
        <v>Hydraulpump HP-200</v>
      </c>
      <c r="H56" s="2">
        <f>_xlfn.XLOOKUP(tblOrder[[#This Row],[Produktkod]], tblProd[Produktkod], tblProd[Styckpris])</f>
        <v>8900</v>
      </c>
      <c r="I56" s="2">
        <f>_xlfn.XLOOKUP(tblOrder[[#This Row],[Produktkod]], tblProd[Produktkod], tblProd[Självkostnad/st])</f>
        <v>5600</v>
      </c>
      <c r="J56" s="2" t="str">
        <f>_xlfn.XLOOKUP(tblOrder[[#This Row],[Kundkod]], tblKund[Kundkod], tblKund[Kund], "Okänd kund")</f>
        <v>Bosch Rexroth</v>
      </c>
      <c r="K56" s="2">
        <f>tblOrder[[#This Row],[Antal]]*tblOrder[[#This Row],[Styckpris]]</f>
        <v>801000</v>
      </c>
      <c r="L56" s="14">
        <f>_xlfn.XLOOKUP(tblOrder[[#This Row],[Antal]], tblRabatt[Min antal], tblRabatt[Rabattsats], , -1)</f>
        <v>0.03</v>
      </c>
      <c r="M56" s="19">
        <f t="shared" si="0"/>
        <v>297000</v>
      </c>
    </row>
    <row r="57" spans="1:13" x14ac:dyDescent="0.25">
      <c r="A57" s="4" t="s">
        <v>146</v>
      </c>
      <c r="B57" s="8">
        <v>46054</v>
      </c>
      <c r="C57" s="4" t="s">
        <v>147</v>
      </c>
      <c r="D57" s="4" t="s">
        <v>33</v>
      </c>
      <c r="E57" s="4" t="s">
        <v>79</v>
      </c>
      <c r="F57" s="3">
        <v>40</v>
      </c>
      <c r="G57" s="2" t="str">
        <f>_xlfn.XLOOKUP(tblOrder[[#This Row],[Produktkod]], tblProd[Produktkod], tblProd[Produktnamn])</f>
        <v>Skruvkit SK-100</v>
      </c>
      <c r="H57" s="2">
        <f>_xlfn.XLOOKUP(tblOrder[[#This Row],[Produktkod]], tblProd[Produktkod], tblProd[Styckpris])</f>
        <v>320</v>
      </c>
      <c r="I57" s="2">
        <f>_xlfn.XLOOKUP(tblOrder[[#This Row],[Produktkod]], tblProd[Produktkod], tblProd[Självkostnad/st])</f>
        <v>165</v>
      </c>
      <c r="J57" s="2" t="str">
        <f>_xlfn.XLOOKUP(tblOrder[[#This Row],[Kundkod]], tblKund[Kundkod], tblKund[Kund], "Okänd kund")</f>
        <v>Industrikomponenter</v>
      </c>
      <c r="K57" s="2">
        <f>tblOrder[[#This Row],[Antal]]*tblOrder[[#This Row],[Styckpris]]</f>
        <v>12800</v>
      </c>
      <c r="L57" s="14">
        <f>_xlfn.XLOOKUP(tblOrder[[#This Row],[Antal]], tblRabatt[Min antal], tblRabatt[Rabattsats], , -1)</f>
        <v>0</v>
      </c>
      <c r="M57" s="19">
        <f t="shared" si="0"/>
        <v>6200</v>
      </c>
    </row>
    <row r="58" spans="1:13" x14ac:dyDescent="0.25">
      <c r="A58" s="4" t="s">
        <v>148</v>
      </c>
      <c r="B58" s="8">
        <v>46054</v>
      </c>
      <c r="C58" s="4" t="s">
        <v>147</v>
      </c>
      <c r="D58" s="4" t="s">
        <v>40</v>
      </c>
      <c r="E58" s="4" t="s">
        <v>57</v>
      </c>
      <c r="F58" s="3">
        <v>87</v>
      </c>
      <c r="G58" s="2" t="str">
        <f>_xlfn.XLOOKUP(tblOrder[[#This Row],[Produktkod]], tblProd[Produktkod], tblProd[Produktnamn])</f>
        <v>Kabelhärva KH-7</v>
      </c>
      <c r="H58" s="2">
        <f>_xlfn.XLOOKUP(tblOrder[[#This Row],[Produktkod]], tblProd[Produktkod], tblProd[Styckpris])</f>
        <v>890</v>
      </c>
      <c r="I58" s="2">
        <f>_xlfn.XLOOKUP(tblOrder[[#This Row],[Produktkod]], tblProd[Produktkod], tblProd[Självkostnad/st])</f>
        <v>510</v>
      </c>
      <c r="J58" s="2" t="str">
        <f>_xlfn.XLOOKUP(tblOrder[[#This Row],[Kundkod]], tblKund[Kundkod], tblKund[Kund], "Okänd kund")</f>
        <v>Scania CV</v>
      </c>
      <c r="K58" s="2">
        <f>tblOrder[[#This Row],[Antal]]*tblOrder[[#This Row],[Styckpris]]</f>
        <v>77430</v>
      </c>
      <c r="L58" s="14">
        <f>_xlfn.XLOOKUP(tblOrder[[#This Row],[Antal]], tblRabatt[Min antal], tblRabatt[Rabattsats], , -1)</f>
        <v>0.03</v>
      </c>
      <c r="M58" s="19">
        <f t="shared" si="0"/>
        <v>33060</v>
      </c>
    </row>
    <row r="59" spans="1:13" x14ac:dyDescent="0.25">
      <c r="A59" s="4" t="s">
        <v>149</v>
      </c>
      <c r="B59" s="8">
        <v>46056</v>
      </c>
      <c r="C59" s="4" t="s">
        <v>147</v>
      </c>
      <c r="D59" s="4" t="s">
        <v>40</v>
      </c>
      <c r="E59" s="4" t="s">
        <v>53</v>
      </c>
      <c r="F59" s="3">
        <v>180</v>
      </c>
      <c r="G59" s="2" t="str">
        <f>_xlfn.XLOOKUP(tblOrder[[#This Row],[Produktkod]], tblProd[Produktkod], tblProd[Produktnamn])</f>
        <v>Kabelhärva KH-7</v>
      </c>
      <c r="H59" s="2">
        <f>_xlfn.XLOOKUP(tblOrder[[#This Row],[Produktkod]], tblProd[Produktkod], tblProd[Styckpris])</f>
        <v>890</v>
      </c>
      <c r="I59" s="2">
        <f>_xlfn.XLOOKUP(tblOrder[[#This Row],[Produktkod]], tblProd[Produktkod], tblProd[Självkostnad/st])</f>
        <v>510</v>
      </c>
      <c r="J59" s="2" t="str">
        <f>_xlfn.XLOOKUP(tblOrder[[#This Row],[Kundkod]], tblKund[Kundkod], tblKund[Kund], "Okänd kund")</f>
        <v>Volvo Lastvagnar</v>
      </c>
      <c r="K59" s="2">
        <f>tblOrder[[#This Row],[Antal]]*tblOrder[[#This Row],[Styckpris]]</f>
        <v>160200</v>
      </c>
      <c r="L59" s="14">
        <f>_xlfn.XLOOKUP(tblOrder[[#This Row],[Antal]], tblRabatt[Min antal], tblRabatt[Rabattsats], , -1)</f>
        <v>0.05</v>
      </c>
      <c r="M59" s="19">
        <f t="shared" si="0"/>
        <v>68400</v>
      </c>
    </row>
    <row r="60" spans="1:13" x14ac:dyDescent="0.25">
      <c r="A60" s="4" t="s">
        <v>150</v>
      </c>
      <c r="B60" s="8">
        <v>46056</v>
      </c>
      <c r="C60" s="4" t="s">
        <v>147</v>
      </c>
      <c r="D60" s="4" t="s">
        <v>47</v>
      </c>
      <c r="E60" s="4" t="s">
        <v>62</v>
      </c>
      <c r="F60" s="3">
        <v>144</v>
      </c>
      <c r="G60" s="2" t="str">
        <f>_xlfn.XLOOKUP(tblOrder[[#This Row],[Produktkod]], tblProd[Produktkod], tblProd[Produktnamn])</f>
        <v>Packningssats PS-3</v>
      </c>
      <c r="H60" s="2">
        <f>_xlfn.XLOOKUP(tblOrder[[#This Row],[Produktkod]], tblProd[Produktkod], tblProd[Styckpris])</f>
        <v>145</v>
      </c>
      <c r="I60" s="2">
        <f>_xlfn.XLOOKUP(tblOrder[[#This Row],[Produktkod]], tblProd[Produktkod], tblProd[Självkostnad/st])</f>
        <v>68</v>
      </c>
      <c r="J60" s="2" t="str">
        <f>_xlfn.XLOOKUP(tblOrder[[#This Row],[Kundkod]], tblKund[Kundkod], tblKund[Kund], "Okänd kund")</f>
        <v>Danfoss A/S</v>
      </c>
      <c r="K60" s="2">
        <f>tblOrder[[#This Row],[Antal]]*tblOrder[[#This Row],[Styckpris]]</f>
        <v>20880</v>
      </c>
      <c r="L60" s="14">
        <f>_xlfn.XLOOKUP(tblOrder[[#This Row],[Antal]], tblRabatt[Min antal], tblRabatt[Rabattsats], , -1)</f>
        <v>0.05</v>
      </c>
      <c r="M60" s="19">
        <f t="shared" si="0"/>
        <v>11088</v>
      </c>
    </row>
    <row r="61" spans="1:13" x14ac:dyDescent="0.25">
      <c r="A61" s="4" t="s">
        <v>151</v>
      </c>
      <c r="B61" s="8">
        <v>46056</v>
      </c>
      <c r="C61" s="4" t="s">
        <v>147</v>
      </c>
      <c r="D61" s="4" t="s">
        <v>26</v>
      </c>
      <c r="E61" s="4" t="s">
        <v>74</v>
      </c>
      <c r="F61" s="3">
        <v>599</v>
      </c>
      <c r="G61" s="2" t="str">
        <f>_xlfn.XLOOKUP(tblOrder[[#This Row],[Produktkod]], tblProd[Produktkod], tblProd[Produktnamn])</f>
        <v>Ventilblock VB-30</v>
      </c>
      <c r="H61" s="2">
        <f>_xlfn.XLOOKUP(tblOrder[[#This Row],[Produktkod]], tblProd[Produktkod], tblProd[Styckpris])</f>
        <v>3200</v>
      </c>
      <c r="I61" s="2">
        <f>_xlfn.XLOOKUP(tblOrder[[#This Row],[Produktkod]], tblProd[Produktkod], tblProd[Självkostnad/st])</f>
        <v>1950</v>
      </c>
      <c r="J61" s="2" t="str">
        <f>_xlfn.XLOOKUP(tblOrder[[#This Row],[Kundkod]], tblKund[Kundkod], tblKund[Kund], "Okänd kund")</f>
        <v>Nordic Parts AS</v>
      </c>
      <c r="K61" s="2">
        <f>tblOrder[[#This Row],[Antal]]*tblOrder[[#This Row],[Styckpris]]</f>
        <v>1916800</v>
      </c>
      <c r="L61" s="14">
        <f>_xlfn.XLOOKUP(tblOrder[[#This Row],[Antal]], tblRabatt[Min antal], tblRabatt[Rabattsats], , -1)</f>
        <v>0.12</v>
      </c>
      <c r="M61" s="19">
        <f t="shared" si="0"/>
        <v>748750</v>
      </c>
    </row>
    <row r="62" spans="1:13" x14ac:dyDescent="0.25">
      <c r="A62" s="4" t="s">
        <v>152</v>
      </c>
      <c r="B62" s="8">
        <v>46057</v>
      </c>
      <c r="C62" s="4" t="s">
        <v>147</v>
      </c>
      <c r="D62" s="4" t="s">
        <v>35</v>
      </c>
      <c r="E62" s="4" t="s">
        <v>74</v>
      </c>
      <c r="F62" s="3">
        <v>67</v>
      </c>
      <c r="G62" s="2" t="str">
        <f>_xlfn.XLOOKUP(tblOrder[[#This Row],[Produktkod]], tblProd[Produktkod], tblProd[Produktnamn])</f>
        <v>Styrenhet CU-X1</v>
      </c>
      <c r="H62" s="2">
        <f>_xlfn.XLOOKUP(tblOrder[[#This Row],[Produktkod]], tblProd[Produktkod], tblProd[Styckpris])</f>
        <v>12500</v>
      </c>
      <c r="I62" s="2">
        <f>_xlfn.XLOOKUP(tblOrder[[#This Row],[Produktkod]], tblProd[Produktkod], tblProd[Självkostnad/st])</f>
        <v>8200</v>
      </c>
      <c r="J62" s="2" t="str">
        <f>_xlfn.XLOOKUP(tblOrder[[#This Row],[Kundkod]], tblKund[Kundkod], tblKund[Kund], "Okänd kund")</f>
        <v>Nordic Parts AS</v>
      </c>
      <c r="K62" s="2">
        <f>tblOrder[[#This Row],[Antal]]*tblOrder[[#This Row],[Styckpris]]</f>
        <v>837500</v>
      </c>
      <c r="L62" s="14">
        <f>_xlfn.XLOOKUP(tblOrder[[#This Row],[Antal]], tblRabatt[Min antal], tblRabatt[Rabattsats], , -1)</f>
        <v>0.03</v>
      </c>
      <c r="M62" s="19">
        <f t="shared" si="0"/>
        <v>288100</v>
      </c>
    </row>
    <row r="63" spans="1:13" x14ac:dyDescent="0.25">
      <c r="A63" s="4" t="s">
        <v>153</v>
      </c>
      <c r="B63" s="8">
        <v>46057</v>
      </c>
      <c r="C63" s="4" t="s">
        <v>147</v>
      </c>
      <c r="D63" s="4" t="s">
        <v>35</v>
      </c>
      <c r="E63" s="4" t="s">
        <v>53</v>
      </c>
      <c r="F63" s="3">
        <v>10</v>
      </c>
      <c r="G63" s="2" t="str">
        <f>_xlfn.XLOOKUP(tblOrder[[#This Row],[Produktkod]], tblProd[Produktkod], tblProd[Produktnamn])</f>
        <v>Styrenhet CU-X1</v>
      </c>
      <c r="H63" s="2">
        <f>_xlfn.XLOOKUP(tblOrder[[#This Row],[Produktkod]], tblProd[Produktkod], tblProd[Styckpris])</f>
        <v>12500</v>
      </c>
      <c r="I63" s="2">
        <f>_xlfn.XLOOKUP(tblOrder[[#This Row],[Produktkod]], tblProd[Produktkod], tblProd[Självkostnad/st])</f>
        <v>8200</v>
      </c>
      <c r="J63" s="2" t="str">
        <f>_xlfn.XLOOKUP(tblOrder[[#This Row],[Kundkod]], tblKund[Kundkod], tblKund[Kund], "Okänd kund")</f>
        <v>Volvo Lastvagnar</v>
      </c>
      <c r="K63" s="2">
        <f>tblOrder[[#This Row],[Antal]]*tblOrder[[#This Row],[Styckpris]]</f>
        <v>125000</v>
      </c>
      <c r="L63" s="14">
        <f>_xlfn.XLOOKUP(tblOrder[[#This Row],[Antal]], tblRabatt[Min antal], tblRabatt[Rabattsats], , -1)</f>
        <v>0</v>
      </c>
      <c r="M63" s="19">
        <f t="shared" si="0"/>
        <v>43000</v>
      </c>
    </row>
    <row r="64" spans="1:13" x14ac:dyDescent="0.25">
      <c r="A64" s="4" t="s">
        <v>154</v>
      </c>
      <c r="B64" s="8">
        <v>46058</v>
      </c>
      <c r="C64" s="4" t="s">
        <v>147</v>
      </c>
      <c r="D64" s="4" t="s">
        <v>40</v>
      </c>
      <c r="E64" s="4" t="s">
        <v>65</v>
      </c>
      <c r="F64" s="3">
        <v>40</v>
      </c>
      <c r="G64" s="2" t="str">
        <f>_xlfn.XLOOKUP(tblOrder[[#This Row],[Produktkod]], tblProd[Produktkod], tblProd[Produktnamn])</f>
        <v>Kabelhärva KH-7</v>
      </c>
      <c r="H64" s="2">
        <f>_xlfn.XLOOKUP(tblOrder[[#This Row],[Produktkod]], tblProd[Produktkod], tblProd[Styckpris])</f>
        <v>890</v>
      </c>
      <c r="I64" s="2">
        <f>_xlfn.XLOOKUP(tblOrder[[#This Row],[Produktkod]], tblProd[Produktkod], tblProd[Självkostnad/st])</f>
        <v>510</v>
      </c>
      <c r="J64" s="2" t="str">
        <f>_xlfn.XLOOKUP(tblOrder[[#This Row],[Kundkod]], tblKund[Kundkod], tblKund[Kund], "Okänd kund")</f>
        <v>Wärtsilä</v>
      </c>
      <c r="K64" s="2">
        <f>tblOrder[[#This Row],[Antal]]*tblOrder[[#This Row],[Styckpris]]</f>
        <v>35600</v>
      </c>
      <c r="L64" s="14">
        <f>_xlfn.XLOOKUP(tblOrder[[#This Row],[Antal]], tblRabatt[Min antal], tblRabatt[Rabattsats], , -1)</f>
        <v>0</v>
      </c>
      <c r="M64" s="19">
        <f t="shared" si="0"/>
        <v>15200</v>
      </c>
    </row>
    <row r="65" spans="1:13" x14ac:dyDescent="0.25">
      <c r="A65" s="4" t="s">
        <v>155</v>
      </c>
      <c r="B65" s="8">
        <v>46059</v>
      </c>
      <c r="C65" s="4" t="s">
        <v>147</v>
      </c>
      <c r="D65" s="4" t="s">
        <v>38</v>
      </c>
      <c r="E65" s="4" t="s">
        <v>71</v>
      </c>
      <c r="F65" s="3">
        <v>172</v>
      </c>
      <c r="G65" s="2" t="str">
        <f>_xlfn.XLOOKUP(tblOrder[[#This Row],[Produktkod]], tblProd[Produktkod], tblProd[Produktnamn])</f>
        <v>Sensor S-45</v>
      </c>
      <c r="H65" s="2">
        <f>_xlfn.XLOOKUP(tblOrder[[#This Row],[Produktkod]], tblProd[Produktkod], tblProd[Styckpris])</f>
        <v>2100</v>
      </c>
      <c r="I65" s="2">
        <f>_xlfn.XLOOKUP(tblOrder[[#This Row],[Produktkod]], tblProd[Produktkod], tblProd[Självkostnad/st])</f>
        <v>1180</v>
      </c>
      <c r="J65" s="2" t="str">
        <f>_xlfn.XLOOKUP(tblOrder[[#This Row],[Kundkod]], tblKund[Kundkod], tblKund[Kund], "Okänd kund")</f>
        <v>Hydraul-Service AB</v>
      </c>
      <c r="K65" s="2">
        <f>tblOrder[[#This Row],[Antal]]*tblOrder[[#This Row],[Styckpris]]</f>
        <v>361200</v>
      </c>
      <c r="L65" s="14">
        <f>_xlfn.XLOOKUP(tblOrder[[#This Row],[Antal]], tblRabatt[Min antal], tblRabatt[Rabattsats], , -1)</f>
        <v>0.05</v>
      </c>
      <c r="M65" s="19">
        <f t="shared" si="0"/>
        <v>158240</v>
      </c>
    </row>
    <row r="66" spans="1:13" x14ac:dyDescent="0.25">
      <c r="A66" s="4" t="s">
        <v>156</v>
      </c>
      <c r="B66" s="8">
        <v>46059</v>
      </c>
      <c r="C66" s="4" t="s">
        <v>147</v>
      </c>
      <c r="D66" s="4" t="s">
        <v>42</v>
      </c>
      <c r="E66" s="4" t="s">
        <v>76</v>
      </c>
      <c r="F66" s="3">
        <v>101</v>
      </c>
      <c r="G66" s="2" t="str">
        <f>_xlfn.XLOOKUP(tblOrder[[#This Row],[Produktkod]], tblProd[Produktkod], tblProd[Produktnamn])</f>
        <v>Lagersats LS-22</v>
      </c>
      <c r="H66" s="2">
        <f>_xlfn.XLOOKUP(tblOrder[[#This Row],[Produktkod]], tblProd[Produktkod], tblProd[Styckpris])</f>
        <v>650</v>
      </c>
      <c r="I66" s="2">
        <f>_xlfn.XLOOKUP(tblOrder[[#This Row],[Produktkod]], tblProd[Produktkod], tblProd[Självkostnad/st])</f>
        <v>380</v>
      </c>
      <c r="J66" s="2" t="str">
        <f>_xlfn.XLOOKUP(tblOrder[[#This Row],[Kundkod]], tblKund[Kundkod], tblKund[Kund], "Okänd kund")</f>
        <v>Maskin &amp; Verktyg</v>
      </c>
      <c r="K66" s="2">
        <f>tblOrder[[#This Row],[Antal]]*tblOrder[[#This Row],[Styckpris]]</f>
        <v>65650</v>
      </c>
      <c r="L66" s="14">
        <f>_xlfn.XLOOKUP(tblOrder[[#This Row],[Antal]], tblRabatt[Min antal], tblRabatt[Rabattsats], , -1)</f>
        <v>0.05</v>
      </c>
      <c r="M66" s="19">
        <f t="shared" ref="M66:M129" si="1">K66-F66*I66</f>
        <v>27270</v>
      </c>
    </row>
    <row r="67" spans="1:13" x14ac:dyDescent="0.25">
      <c r="A67" s="4" t="s">
        <v>157</v>
      </c>
      <c r="B67" s="8">
        <v>46059</v>
      </c>
      <c r="C67" s="4" t="s">
        <v>147</v>
      </c>
      <c r="D67" s="4" t="s">
        <v>47</v>
      </c>
      <c r="E67" s="4" t="s">
        <v>71</v>
      </c>
      <c r="F67" s="3">
        <v>42</v>
      </c>
      <c r="G67" s="2" t="str">
        <f>_xlfn.XLOOKUP(tblOrder[[#This Row],[Produktkod]], tblProd[Produktkod], tblProd[Produktnamn])</f>
        <v>Packningssats PS-3</v>
      </c>
      <c r="H67" s="2">
        <f>_xlfn.XLOOKUP(tblOrder[[#This Row],[Produktkod]], tblProd[Produktkod], tblProd[Styckpris])</f>
        <v>145</v>
      </c>
      <c r="I67" s="2">
        <f>_xlfn.XLOOKUP(tblOrder[[#This Row],[Produktkod]], tblProd[Produktkod], tblProd[Självkostnad/st])</f>
        <v>68</v>
      </c>
      <c r="J67" s="2" t="str">
        <f>_xlfn.XLOOKUP(tblOrder[[#This Row],[Kundkod]], tblKund[Kundkod], tblKund[Kund], "Okänd kund")</f>
        <v>Hydraul-Service AB</v>
      </c>
      <c r="K67" s="2">
        <f>tblOrder[[#This Row],[Antal]]*tblOrder[[#This Row],[Styckpris]]</f>
        <v>6090</v>
      </c>
      <c r="L67" s="14">
        <f>_xlfn.XLOOKUP(tblOrder[[#This Row],[Antal]], tblRabatt[Min antal], tblRabatt[Rabattsats], , -1)</f>
        <v>0</v>
      </c>
      <c r="M67" s="19">
        <f t="shared" si="1"/>
        <v>3234</v>
      </c>
    </row>
    <row r="68" spans="1:13" x14ac:dyDescent="0.25">
      <c r="A68" s="4" t="s">
        <v>158</v>
      </c>
      <c r="B68" s="8">
        <v>46059</v>
      </c>
      <c r="C68" s="4" t="s">
        <v>147</v>
      </c>
      <c r="D68" s="4" t="s">
        <v>47</v>
      </c>
      <c r="E68" s="4" t="s">
        <v>79</v>
      </c>
      <c r="F68" s="3">
        <v>649</v>
      </c>
      <c r="G68" s="2" t="str">
        <f>_xlfn.XLOOKUP(tblOrder[[#This Row],[Produktkod]], tblProd[Produktkod], tblProd[Produktnamn])</f>
        <v>Packningssats PS-3</v>
      </c>
      <c r="H68" s="2">
        <f>_xlfn.XLOOKUP(tblOrder[[#This Row],[Produktkod]], tblProd[Produktkod], tblProd[Styckpris])</f>
        <v>145</v>
      </c>
      <c r="I68" s="2">
        <f>_xlfn.XLOOKUP(tblOrder[[#This Row],[Produktkod]], tblProd[Produktkod], tblProd[Självkostnad/st])</f>
        <v>68</v>
      </c>
      <c r="J68" s="2" t="str">
        <f>_xlfn.XLOOKUP(tblOrder[[#This Row],[Kundkod]], tblKund[Kundkod], tblKund[Kund], "Okänd kund")</f>
        <v>Industrikomponenter</v>
      </c>
      <c r="K68" s="2">
        <f>tblOrder[[#This Row],[Antal]]*tblOrder[[#This Row],[Styckpris]]</f>
        <v>94105</v>
      </c>
      <c r="L68" s="14">
        <f>_xlfn.XLOOKUP(tblOrder[[#This Row],[Antal]], tblRabatt[Min antal], tblRabatt[Rabattsats], , -1)</f>
        <v>0.12</v>
      </c>
      <c r="M68" s="19">
        <f t="shared" si="1"/>
        <v>49973</v>
      </c>
    </row>
    <row r="69" spans="1:13" x14ac:dyDescent="0.25">
      <c r="A69" s="4" t="s">
        <v>159</v>
      </c>
      <c r="B69" s="8">
        <v>46060</v>
      </c>
      <c r="C69" s="4" t="s">
        <v>147</v>
      </c>
      <c r="D69" s="4" t="s">
        <v>28</v>
      </c>
      <c r="E69" s="4" t="s">
        <v>59</v>
      </c>
      <c r="F69" s="3">
        <v>19</v>
      </c>
      <c r="G69" s="2" t="str">
        <f>_xlfn.XLOOKUP(tblOrder[[#This Row],[Produktkod]], tblProd[Produktkod], tblProd[Produktnamn])</f>
        <v>Montagesats MS-10</v>
      </c>
      <c r="H69" s="2">
        <f>_xlfn.XLOOKUP(tblOrder[[#This Row],[Produktkod]], tblProd[Produktkod], tblProd[Styckpris])</f>
        <v>1250</v>
      </c>
      <c r="I69" s="2">
        <f>_xlfn.XLOOKUP(tblOrder[[#This Row],[Produktkod]], tblProd[Produktkod], tblProd[Självkostnad/st])</f>
        <v>720</v>
      </c>
      <c r="J69" s="2" t="str">
        <f>_xlfn.XLOOKUP(tblOrder[[#This Row],[Kundkod]], tblKund[Kundkod], tblKund[Kund], "Okänd kund")</f>
        <v>Kongsberg Automotive</v>
      </c>
      <c r="K69" s="2">
        <f>tblOrder[[#This Row],[Antal]]*tblOrder[[#This Row],[Styckpris]]</f>
        <v>23750</v>
      </c>
      <c r="L69" s="14">
        <f>_xlfn.XLOOKUP(tblOrder[[#This Row],[Antal]], tblRabatt[Min antal], tblRabatt[Rabattsats], , -1)</f>
        <v>0</v>
      </c>
      <c r="M69" s="19">
        <f t="shared" si="1"/>
        <v>10070</v>
      </c>
    </row>
    <row r="70" spans="1:13" x14ac:dyDescent="0.25">
      <c r="A70" s="4" t="s">
        <v>160</v>
      </c>
      <c r="B70" s="8">
        <v>46060</v>
      </c>
      <c r="C70" s="4" t="s">
        <v>147</v>
      </c>
      <c r="D70" s="4" t="s">
        <v>33</v>
      </c>
      <c r="E70" s="4" t="s">
        <v>74</v>
      </c>
      <c r="F70" s="3">
        <v>6</v>
      </c>
      <c r="G70" s="2" t="str">
        <f>_xlfn.XLOOKUP(tblOrder[[#This Row],[Produktkod]], tblProd[Produktkod], tblProd[Produktnamn])</f>
        <v>Skruvkit SK-100</v>
      </c>
      <c r="H70" s="2">
        <f>_xlfn.XLOOKUP(tblOrder[[#This Row],[Produktkod]], tblProd[Produktkod], tblProd[Styckpris])</f>
        <v>320</v>
      </c>
      <c r="I70" s="2">
        <f>_xlfn.XLOOKUP(tblOrder[[#This Row],[Produktkod]], tblProd[Produktkod], tblProd[Självkostnad/st])</f>
        <v>165</v>
      </c>
      <c r="J70" s="2" t="str">
        <f>_xlfn.XLOOKUP(tblOrder[[#This Row],[Kundkod]], tblKund[Kundkod], tblKund[Kund], "Okänd kund")</f>
        <v>Nordic Parts AS</v>
      </c>
      <c r="K70" s="2">
        <f>tblOrder[[#This Row],[Antal]]*tblOrder[[#This Row],[Styckpris]]</f>
        <v>1920</v>
      </c>
      <c r="L70" s="14">
        <f>_xlfn.XLOOKUP(tblOrder[[#This Row],[Antal]], tblRabatt[Min antal], tblRabatt[Rabattsats], , -1)</f>
        <v>0</v>
      </c>
      <c r="M70" s="19">
        <f t="shared" si="1"/>
        <v>930</v>
      </c>
    </row>
    <row r="71" spans="1:13" x14ac:dyDescent="0.25">
      <c r="A71" s="4" t="s">
        <v>161</v>
      </c>
      <c r="B71" s="8">
        <v>46060</v>
      </c>
      <c r="C71" s="4" t="s">
        <v>147</v>
      </c>
      <c r="D71" s="4" t="s">
        <v>33</v>
      </c>
      <c r="E71" s="4" t="s">
        <v>74</v>
      </c>
      <c r="F71" s="3">
        <v>121</v>
      </c>
      <c r="G71" s="2" t="str">
        <f>_xlfn.XLOOKUP(tblOrder[[#This Row],[Produktkod]], tblProd[Produktkod], tblProd[Produktnamn])</f>
        <v>Skruvkit SK-100</v>
      </c>
      <c r="H71" s="2">
        <f>_xlfn.XLOOKUP(tblOrder[[#This Row],[Produktkod]], tblProd[Produktkod], tblProd[Styckpris])</f>
        <v>320</v>
      </c>
      <c r="I71" s="2">
        <f>_xlfn.XLOOKUP(tblOrder[[#This Row],[Produktkod]], tblProd[Produktkod], tblProd[Självkostnad/st])</f>
        <v>165</v>
      </c>
      <c r="J71" s="2" t="str">
        <f>_xlfn.XLOOKUP(tblOrder[[#This Row],[Kundkod]], tblKund[Kundkod], tblKund[Kund], "Okänd kund")</f>
        <v>Nordic Parts AS</v>
      </c>
      <c r="K71" s="2">
        <f>tblOrder[[#This Row],[Antal]]*tblOrder[[#This Row],[Styckpris]]</f>
        <v>38720</v>
      </c>
      <c r="L71" s="14">
        <f>_xlfn.XLOOKUP(tblOrder[[#This Row],[Antal]], tblRabatt[Min antal], tblRabatt[Rabattsats], , -1)</f>
        <v>0.05</v>
      </c>
      <c r="M71" s="19">
        <f t="shared" si="1"/>
        <v>18755</v>
      </c>
    </row>
    <row r="72" spans="1:13" x14ac:dyDescent="0.25">
      <c r="A72" s="4" t="s">
        <v>162</v>
      </c>
      <c r="B72" s="8">
        <v>46060</v>
      </c>
      <c r="C72" s="4" t="s">
        <v>147</v>
      </c>
      <c r="D72" s="4" t="s">
        <v>21</v>
      </c>
      <c r="E72" s="4" t="s">
        <v>53</v>
      </c>
      <c r="F72" s="3">
        <v>338</v>
      </c>
      <c r="G72" s="2" t="str">
        <f>_xlfn.XLOOKUP(tblOrder[[#This Row],[Produktkod]], tblProd[Produktkod], tblProd[Produktnamn])</f>
        <v>Hydraulcylinder HC-50</v>
      </c>
      <c r="H72" s="2">
        <f>_xlfn.XLOOKUP(tblOrder[[#This Row],[Produktkod]], tblProd[Produktkod], tblProd[Styckpris])</f>
        <v>4500</v>
      </c>
      <c r="I72" s="2">
        <f>_xlfn.XLOOKUP(tblOrder[[#This Row],[Produktkod]], tblProd[Produktkod], tblProd[Självkostnad/st])</f>
        <v>2800</v>
      </c>
      <c r="J72" s="2" t="str">
        <f>_xlfn.XLOOKUP(tblOrder[[#This Row],[Kundkod]], tblKund[Kundkod], tblKund[Kund], "Okänd kund")</f>
        <v>Volvo Lastvagnar</v>
      </c>
      <c r="K72" s="2">
        <f>tblOrder[[#This Row],[Antal]]*tblOrder[[#This Row],[Styckpris]]</f>
        <v>1521000</v>
      </c>
      <c r="L72" s="14">
        <f>_xlfn.XLOOKUP(tblOrder[[#This Row],[Antal]], tblRabatt[Min antal], tblRabatt[Rabattsats], , -1)</f>
        <v>0.08</v>
      </c>
      <c r="M72" s="19">
        <f t="shared" si="1"/>
        <v>574600</v>
      </c>
    </row>
    <row r="73" spans="1:13" x14ac:dyDescent="0.25">
      <c r="A73" s="4" t="s">
        <v>163</v>
      </c>
      <c r="B73" s="8">
        <v>46061</v>
      </c>
      <c r="C73" s="4" t="s">
        <v>147</v>
      </c>
      <c r="D73" s="4" t="s">
        <v>31</v>
      </c>
      <c r="E73" s="4" t="s">
        <v>53</v>
      </c>
      <c r="F73" s="3">
        <v>73</v>
      </c>
      <c r="G73" s="2" t="str">
        <f>_xlfn.XLOOKUP(tblOrder[[#This Row],[Produktkod]], tblProd[Produktkod], tblProd[Produktnamn])</f>
        <v>Fästplatta FP-A4</v>
      </c>
      <c r="H73" s="2">
        <f>_xlfn.XLOOKUP(tblOrder[[#This Row],[Produktkod]], tblProd[Produktkod], tblProd[Styckpris])</f>
        <v>480</v>
      </c>
      <c r="I73" s="2">
        <f>_xlfn.XLOOKUP(tblOrder[[#This Row],[Produktkod]], tblProd[Produktkod], tblProd[Självkostnad/st])</f>
        <v>260</v>
      </c>
      <c r="J73" s="2" t="str">
        <f>_xlfn.XLOOKUP(tblOrder[[#This Row],[Kundkod]], tblKund[Kundkod], tblKund[Kund], "Okänd kund")</f>
        <v>Volvo Lastvagnar</v>
      </c>
      <c r="K73" s="2">
        <f>tblOrder[[#This Row],[Antal]]*tblOrder[[#This Row],[Styckpris]]</f>
        <v>35040</v>
      </c>
      <c r="L73" s="14">
        <f>_xlfn.XLOOKUP(tblOrder[[#This Row],[Antal]], tblRabatt[Min antal], tblRabatt[Rabattsats], , -1)</f>
        <v>0.03</v>
      </c>
      <c r="M73" s="19">
        <f t="shared" si="1"/>
        <v>16060</v>
      </c>
    </row>
    <row r="74" spans="1:13" x14ac:dyDescent="0.25">
      <c r="A74" s="4" t="s">
        <v>164</v>
      </c>
      <c r="B74" s="8">
        <v>46061</v>
      </c>
      <c r="C74" s="4" t="s">
        <v>147</v>
      </c>
      <c r="D74" s="4" t="s">
        <v>38</v>
      </c>
      <c r="E74" s="4" t="s">
        <v>62</v>
      </c>
      <c r="F74" s="3">
        <v>122</v>
      </c>
      <c r="G74" s="2" t="str">
        <f>_xlfn.XLOOKUP(tblOrder[[#This Row],[Produktkod]], tblProd[Produktkod], tblProd[Produktnamn])</f>
        <v>Sensor S-45</v>
      </c>
      <c r="H74" s="2">
        <f>_xlfn.XLOOKUP(tblOrder[[#This Row],[Produktkod]], tblProd[Produktkod], tblProd[Styckpris])</f>
        <v>2100</v>
      </c>
      <c r="I74" s="2">
        <f>_xlfn.XLOOKUP(tblOrder[[#This Row],[Produktkod]], tblProd[Produktkod], tblProd[Självkostnad/st])</f>
        <v>1180</v>
      </c>
      <c r="J74" s="2" t="str">
        <f>_xlfn.XLOOKUP(tblOrder[[#This Row],[Kundkod]], tblKund[Kundkod], tblKund[Kund], "Okänd kund")</f>
        <v>Danfoss A/S</v>
      </c>
      <c r="K74" s="2">
        <f>tblOrder[[#This Row],[Antal]]*tblOrder[[#This Row],[Styckpris]]</f>
        <v>256200</v>
      </c>
      <c r="L74" s="14">
        <f>_xlfn.XLOOKUP(tblOrder[[#This Row],[Antal]], tblRabatt[Min antal], tblRabatt[Rabattsats], , -1)</f>
        <v>0.05</v>
      </c>
      <c r="M74" s="19">
        <f t="shared" si="1"/>
        <v>112240</v>
      </c>
    </row>
    <row r="75" spans="1:13" x14ac:dyDescent="0.25">
      <c r="A75" s="4" t="s">
        <v>165</v>
      </c>
      <c r="B75" s="8">
        <v>46061</v>
      </c>
      <c r="C75" s="4" t="s">
        <v>147</v>
      </c>
      <c r="D75" s="4" t="s">
        <v>24</v>
      </c>
      <c r="E75" s="4" t="s">
        <v>71</v>
      </c>
      <c r="F75" s="3">
        <v>237</v>
      </c>
      <c r="G75" s="2" t="str">
        <f>_xlfn.XLOOKUP(tblOrder[[#This Row],[Produktkod]], tblProd[Produktkod], tblProd[Produktnamn])</f>
        <v>Hydraulpump HP-200</v>
      </c>
      <c r="H75" s="2">
        <f>_xlfn.XLOOKUP(tblOrder[[#This Row],[Produktkod]], tblProd[Produktkod], tblProd[Styckpris])</f>
        <v>8900</v>
      </c>
      <c r="I75" s="2">
        <f>_xlfn.XLOOKUP(tblOrder[[#This Row],[Produktkod]], tblProd[Produktkod], tblProd[Självkostnad/st])</f>
        <v>5600</v>
      </c>
      <c r="J75" s="2" t="str">
        <f>_xlfn.XLOOKUP(tblOrder[[#This Row],[Kundkod]], tblKund[Kundkod], tblKund[Kund], "Okänd kund")</f>
        <v>Hydraul-Service AB</v>
      </c>
      <c r="K75" s="2">
        <f>tblOrder[[#This Row],[Antal]]*tblOrder[[#This Row],[Styckpris]]</f>
        <v>2109300</v>
      </c>
      <c r="L75" s="14">
        <f>_xlfn.XLOOKUP(tblOrder[[#This Row],[Antal]], tblRabatt[Min antal], tblRabatt[Rabattsats], , -1)</f>
        <v>0.05</v>
      </c>
      <c r="M75" s="19">
        <f t="shared" si="1"/>
        <v>782100</v>
      </c>
    </row>
    <row r="76" spans="1:13" x14ac:dyDescent="0.25">
      <c r="A76" s="4" t="s">
        <v>166</v>
      </c>
      <c r="B76" s="8">
        <v>46062</v>
      </c>
      <c r="C76" s="4" t="s">
        <v>147</v>
      </c>
      <c r="D76" s="4" t="s">
        <v>45</v>
      </c>
      <c r="E76" s="4" t="s">
        <v>71</v>
      </c>
      <c r="F76" s="3">
        <v>47</v>
      </c>
      <c r="G76" s="2" t="str">
        <f>_xlfn.XLOOKUP(tblOrder[[#This Row],[Produktkod]], tblProd[Produktkod], tblProd[Produktnamn])</f>
        <v>Tätningskit TK-9</v>
      </c>
      <c r="H76" s="2">
        <f>_xlfn.XLOOKUP(tblOrder[[#This Row],[Produktkod]], tblProd[Produktkod], tblProd[Styckpris])</f>
        <v>210</v>
      </c>
      <c r="I76" s="2">
        <f>_xlfn.XLOOKUP(tblOrder[[#This Row],[Produktkod]], tblProd[Produktkod], tblProd[Självkostnad/st])</f>
        <v>95</v>
      </c>
      <c r="J76" s="2" t="str">
        <f>_xlfn.XLOOKUP(tblOrder[[#This Row],[Kundkod]], tblKund[Kundkod], tblKund[Kund], "Okänd kund")</f>
        <v>Hydraul-Service AB</v>
      </c>
      <c r="K76" s="2">
        <f>tblOrder[[#This Row],[Antal]]*tblOrder[[#This Row],[Styckpris]]</f>
        <v>9870</v>
      </c>
      <c r="L76" s="14">
        <f>_xlfn.XLOOKUP(tblOrder[[#This Row],[Antal]], tblRabatt[Min antal], tblRabatt[Rabattsats], , -1)</f>
        <v>0</v>
      </c>
      <c r="M76" s="19">
        <f t="shared" si="1"/>
        <v>5405</v>
      </c>
    </row>
    <row r="77" spans="1:13" x14ac:dyDescent="0.25">
      <c r="A77" s="4" t="s">
        <v>167</v>
      </c>
      <c r="B77" s="8">
        <v>46062</v>
      </c>
      <c r="C77" s="4" t="s">
        <v>147</v>
      </c>
      <c r="D77" s="4" t="s">
        <v>28</v>
      </c>
      <c r="E77" s="4" t="s">
        <v>59</v>
      </c>
      <c r="F77" s="3">
        <v>537</v>
      </c>
      <c r="G77" s="2" t="str">
        <f>_xlfn.XLOOKUP(tblOrder[[#This Row],[Produktkod]], tblProd[Produktkod], tblProd[Produktnamn])</f>
        <v>Montagesats MS-10</v>
      </c>
      <c r="H77" s="2">
        <f>_xlfn.XLOOKUP(tblOrder[[#This Row],[Produktkod]], tblProd[Produktkod], tblProd[Styckpris])</f>
        <v>1250</v>
      </c>
      <c r="I77" s="2">
        <f>_xlfn.XLOOKUP(tblOrder[[#This Row],[Produktkod]], tblProd[Produktkod], tblProd[Självkostnad/st])</f>
        <v>720</v>
      </c>
      <c r="J77" s="2" t="str">
        <f>_xlfn.XLOOKUP(tblOrder[[#This Row],[Kundkod]], tblKund[Kundkod], tblKund[Kund], "Okänd kund")</f>
        <v>Kongsberg Automotive</v>
      </c>
      <c r="K77" s="2">
        <f>tblOrder[[#This Row],[Antal]]*tblOrder[[#This Row],[Styckpris]]</f>
        <v>671250</v>
      </c>
      <c r="L77" s="14">
        <f>_xlfn.XLOOKUP(tblOrder[[#This Row],[Antal]], tblRabatt[Min antal], tblRabatt[Rabattsats], , -1)</f>
        <v>0.12</v>
      </c>
      <c r="M77" s="19">
        <f t="shared" si="1"/>
        <v>284610</v>
      </c>
    </row>
    <row r="78" spans="1:13" x14ac:dyDescent="0.25">
      <c r="A78" s="4" t="s">
        <v>168</v>
      </c>
      <c r="B78" s="8">
        <v>46062</v>
      </c>
      <c r="C78" s="4" t="s">
        <v>147</v>
      </c>
      <c r="D78" s="4" t="s">
        <v>47</v>
      </c>
      <c r="E78" s="4" t="s">
        <v>53</v>
      </c>
      <c r="F78" s="3">
        <v>256</v>
      </c>
      <c r="G78" s="2" t="str">
        <f>_xlfn.XLOOKUP(tblOrder[[#This Row],[Produktkod]], tblProd[Produktkod], tblProd[Produktnamn])</f>
        <v>Packningssats PS-3</v>
      </c>
      <c r="H78" s="2">
        <f>_xlfn.XLOOKUP(tblOrder[[#This Row],[Produktkod]], tblProd[Produktkod], tblProd[Styckpris])</f>
        <v>145</v>
      </c>
      <c r="I78" s="2">
        <f>_xlfn.XLOOKUP(tblOrder[[#This Row],[Produktkod]], tblProd[Produktkod], tblProd[Självkostnad/st])</f>
        <v>68</v>
      </c>
      <c r="J78" s="2" t="str">
        <f>_xlfn.XLOOKUP(tblOrder[[#This Row],[Kundkod]], tblKund[Kundkod], tblKund[Kund], "Okänd kund")</f>
        <v>Volvo Lastvagnar</v>
      </c>
      <c r="K78" s="2">
        <f>tblOrder[[#This Row],[Antal]]*tblOrder[[#This Row],[Styckpris]]</f>
        <v>37120</v>
      </c>
      <c r="L78" s="14">
        <f>_xlfn.XLOOKUP(tblOrder[[#This Row],[Antal]], tblRabatt[Min antal], tblRabatt[Rabattsats], , -1)</f>
        <v>0.08</v>
      </c>
      <c r="M78" s="19">
        <f t="shared" si="1"/>
        <v>19712</v>
      </c>
    </row>
    <row r="79" spans="1:13" x14ac:dyDescent="0.25">
      <c r="A79" s="4" t="s">
        <v>169</v>
      </c>
      <c r="B79" s="8">
        <v>46063</v>
      </c>
      <c r="C79" s="4" t="s">
        <v>147</v>
      </c>
      <c r="D79" s="4" t="s">
        <v>28</v>
      </c>
      <c r="E79" s="4" t="s">
        <v>59</v>
      </c>
      <c r="F79" s="3">
        <v>169</v>
      </c>
      <c r="G79" s="2" t="str">
        <f>_xlfn.XLOOKUP(tblOrder[[#This Row],[Produktkod]], tblProd[Produktkod], tblProd[Produktnamn])</f>
        <v>Montagesats MS-10</v>
      </c>
      <c r="H79" s="2">
        <f>_xlfn.XLOOKUP(tblOrder[[#This Row],[Produktkod]], tblProd[Produktkod], tblProd[Styckpris])</f>
        <v>1250</v>
      </c>
      <c r="I79" s="2">
        <f>_xlfn.XLOOKUP(tblOrder[[#This Row],[Produktkod]], tblProd[Produktkod], tblProd[Självkostnad/st])</f>
        <v>720</v>
      </c>
      <c r="J79" s="2" t="str">
        <f>_xlfn.XLOOKUP(tblOrder[[#This Row],[Kundkod]], tblKund[Kundkod], tblKund[Kund], "Okänd kund")</f>
        <v>Kongsberg Automotive</v>
      </c>
      <c r="K79" s="2">
        <f>tblOrder[[#This Row],[Antal]]*tblOrder[[#This Row],[Styckpris]]</f>
        <v>211250</v>
      </c>
      <c r="L79" s="14">
        <f>_xlfn.XLOOKUP(tblOrder[[#This Row],[Antal]], tblRabatt[Min antal], tblRabatt[Rabattsats], , -1)</f>
        <v>0.05</v>
      </c>
      <c r="M79" s="19">
        <f t="shared" si="1"/>
        <v>89570</v>
      </c>
    </row>
    <row r="80" spans="1:13" x14ac:dyDescent="0.25">
      <c r="A80" s="4" t="s">
        <v>170</v>
      </c>
      <c r="B80" s="8">
        <v>46063</v>
      </c>
      <c r="C80" s="4" t="s">
        <v>147</v>
      </c>
      <c r="D80" s="4" t="s">
        <v>45</v>
      </c>
      <c r="E80" s="4" t="s">
        <v>57</v>
      </c>
      <c r="F80" s="3">
        <v>40</v>
      </c>
      <c r="G80" s="2" t="str">
        <f>_xlfn.XLOOKUP(tblOrder[[#This Row],[Produktkod]], tblProd[Produktkod], tblProd[Produktnamn])</f>
        <v>Tätningskit TK-9</v>
      </c>
      <c r="H80" s="2">
        <f>_xlfn.XLOOKUP(tblOrder[[#This Row],[Produktkod]], tblProd[Produktkod], tblProd[Styckpris])</f>
        <v>210</v>
      </c>
      <c r="I80" s="2">
        <f>_xlfn.XLOOKUP(tblOrder[[#This Row],[Produktkod]], tblProd[Produktkod], tblProd[Självkostnad/st])</f>
        <v>95</v>
      </c>
      <c r="J80" s="2" t="str">
        <f>_xlfn.XLOOKUP(tblOrder[[#This Row],[Kundkod]], tblKund[Kundkod], tblKund[Kund], "Okänd kund")</f>
        <v>Scania CV</v>
      </c>
      <c r="K80" s="2">
        <f>tblOrder[[#This Row],[Antal]]*tblOrder[[#This Row],[Styckpris]]</f>
        <v>8400</v>
      </c>
      <c r="L80" s="14">
        <f>_xlfn.XLOOKUP(tblOrder[[#This Row],[Antal]], tblRabatt[Min antal], tblRabatt[Rabattsats], , -1)</f>
        <v>0</v>
      </c>
      <c r="M80" s="19">
        <f t="shared" si="1"/>
        <v>4600</v>
      </c>
    </row>
    <row r="81" spans="1:13" x14ac:dyDescent="0.25">
      <c r="A81" s="4" t="s">
        <v>171</v>
      </c>
      <c r="B81" s="8">
        <v>46064</v>
      </c>
      <c r="C81" s="4" t="s">
        <v>147</v>
      </c>
      <c r="D81" s="4" t="s">
        <v>33</v>
      </c>
      <c r="E81" s="4" t="s">
        <v>68</v>
      </c>
      <c r="F81" s="3">
        <v>280</v>
      </c>
      <c r="G81" s="2" t="str">
        <f>_xlfn.XLOOKUP(tblOrder[[#This Row],[Produktkod]], tblProd[Produktkod], tblProd[Produktnamn])</f>
        <v>Skruvkit SK-100</v>
      </c>
      <c r="H81" s="2">
        <f>_xlfn.XLOOKUP(tblOrder[[#This Row],[Produktkod]], tblProd[Produktkod], tblProd[Styckpris])</f>
        <v>320</v>
      </c>
      <c r="I81" s="2">
        <f>_xlfn.XLOOKUP(tblOrder[[#This Row],[Produktkod]], tblProd[Produktkod], tblProd[Självkostnad/st])</f>
        <v>165</v>
      </c>
      <c r="J81" s="2" t="str">
        <f>_xlfn.XLOOKUP(tblOrder[[#This Row],[Kundkod]], tblKund[Kundkod], tblKund[Kund], "Okänd kund")</f>
        <v>Bosch Rexroth</v>
      </c>
      <c r="K81" s="2">
        <f>tblOrder[[#This Row],[Antal]]*tblOrder[[#This Row],[Styckpris]]</f>
        <v>89600</v>
      </c>
      <c r="L81" s="14">
        <f>_xlfn.XLOOKUP(tblOrder[[#This Row],[Antal]], tblRabatt[Min antal], tblRabatt[Rabattsats], , -1)</f>
        <v>0.08</v>
      </c>
      <c r="M81" s="19">
        <f t="shared" si="1"/>
        <v>43400</v>
      </c>
    </row>
    <row r="82" spans="1:13" x14ac:dyDescent="0.25">
      <c r="A82" s="4" t="s">
        <v>172</v>
      </c>
      <c r="B82" s="8">
        <v>46064</v>
      </c>
      <c r="C82" s="4" t="s">
        <v>147</v>
      </c>
      <c r="D82" s="4" t="s">
        <v>35</v>
      </c>
      <c r="E82" s="4" t="s">
        <v>71</v>
      </c>
      <c r="F82" s="3">
        <v>38</v>
      </c>
      <c r="G82" s="2" t="str">
        <f>_xlfn.XLOOKUP(tblOrder[[#This Row],[Produktkod]], tblProd[Produktkod], tblProd[Produktnamn])</f>
        <v>Styrenhet CU-X1</v>
      </c>
      <c r="H82" s="2">
        <f>_xlfn.XLOOKUP(tblOrder[[#This Row],[Produktkod]], tblProd[Produktkod], tblProd[Styckpris])</f>
        <v>12500</v>
      </c>
      <c r="I82" s="2">
        <f>_xlfn.XLOOKUP(tblOrder[[#This Row],[Produktkod]], tblProd[Produktkod], tblProd[Självkostnad/st])</f>
        <v>8200</v>
      </c>
      <c r="J82" s="2" t="str">
        <f>_xlfn.XLOOKUP(tblOrder[[#This Row],[Kundkod]], tblKund[Kundkod], tblKund[Kund], "Okänd kund")</f>
        <v>Hydraul-Service AB</v>
      </c>
      <c r="K82" s="2">
        <f>tblOrder[[#This Row],[Antal]]*tblOrder[[#This Row],[Styckpris]]</f>
        <v>475000</v>
      </c>
      <c r="L82" s="14">
        <f>_xlfn.XLOOKUP(tblOrder[[#This Row],[Antal]], tblRabatt[Min antal], tblRabatt[Rabattsats], , -1)</f>
        <v>0</v>
      </c>
      <c r="M82" s="19">
        <f t="shared" si="1"/>
        <v>163400</v>
      </c>
    </row>
    <row r="83" spans="1:13" x14ac:dyDescent="0.25">
      <c r="A83" s="4" t="s">
        <v>173</v>
      </c>
      <c r="B83" s="8">
        <v>46064</v>
      </c>
      <c r="C83" s="4" t="s">
        <v>147</v>
      </c>
      <c r="D83" s="4" t="s">
        <v>47</v>
      </c>
      <c r="E83" s="4" t="s">
        <v>76</v>
      </c>
      <c r="F83" s="3">
        <v>399</v>
      </c>
      <c r="G83" s="2" t="str">
        <f>_xlfn.XLOOKUP(tblOrder[[#This Row],[Produktkod]], tblProd[Produktkod], tblProd[Produktnamn])</f>
        <v>Packningssats PS-3</v>
      </c>
      <c r="H83" s="2">
        <f>_xlfn.XLOOKUP(tblOrder[[#This Row],[Produktkod]], tblProd[Produktkod], tblProd[Styckpris])</f>
        <v>145</v>
      </c>
      <c r="I83" s="2">
        <f>_xlfn.XLOOKUP(tblOrder[[#This Row],[Produktkod]], tblProd[Produktkod], tblProd[Självkostnad/st])</f>
        <v>68</v>
      </c>
      <c r="J83" s="2" t="str">
        <f>_xlfn.XLOOKUP(tblOrder[[#This Row],[Kundkod]], tblKund[Kundkod], tblKund[Kund], "Okänd kund")</f>
        <v>Maskin &amp; Verktyg</v>
      </c>
      <c r="K83" s="2">
        <f>tblOrder[[#This Row],[Antal]]*tblOrder[[#This Row],[Styckpris]]</f>
        <v>57855</v>
      </c>
      <c r="L83" s="14">
        <f>_xlfn.XLOOKUP(tblOrder[[#This Row],[Antal]], tblRabatt[Min antal], tblRabatt[Rabattsats], , -1)</f>
        <v>0.08</v>
      </c>
      <c r="M83" s="19">
        <f t="shared" si="1"/>
        <v>30723</v>
      </c>
    </row>
    <row r="84" spans="1:13" x14ac:dyDescent="0.25">
      <c r="A84" s="4" t="s">
        <v>174</v>
      </c>
      <c r="B84" s="8">
        <v>46065</v>
      </c>
      <c r="C84" s="4" t="s">
        <v>147</v>
      </c>
      <c r="D84" s="4" t="s">
        <v>47</v>
      </c>
      <c r="E84" s="4" t="s">
        <v>132</v>
      </c>
      <c r="F84" s="3">
        <v>152</v>
      </c>
      <c r="G84" s="2" t="str">
        <f>_xlfn.XLOOKUP(tblOrder[[#This Row],[Produktkod]], tblProd[Produktkod], tblProd[Produktnamn])</f>
        <v>Packningssats PS-3</v>
      </c>
      <c r="H84" s="2">
        <f>_xlfn.XLOOKUP(tblOrder[[#This Row],[Produktkod]], tblProd[Produktkod], tblProd[Styckpris])</f>
        <v>145</v>
      </c>
      <c r="I84" s="2">
        <f>_xlfn.XLOOKUP(tblOrder[[#This Row],[Produktkod]], tblProd[Produktkod], tblProd[Självkostnad/st])</f>
        <v>68</v>
      </c>
      <c r="J84" s="2" t="str">
        <f>_xlfn.XLOOKUP(tblOrder[[#This Row],[Kundkod]], tblKund[Kundkod], tblKund[Kund], "Okänd kund")</f>
        <v>Okänd kund</v>
      </c>
      <c r="K84" s="2">
        <f>tblOrder[[#This Row],[Antal]]*tblOrder[[#This Row],[Styckpris]]</f>
        <v>22040</v>
      </c>
      <c r="L84" s="14">
        <f>_xlfn.XLOOKUP(tblOrder[[#This Row],[Antal]], tblRabatt[Min antal], tblRabatt[Rabattsats], , -1)</f>
        <v>0.05</v>
      </c>
      <c r="M84" s="19">
        <f t="shared" si="1"/>
        <v>11704</v>
      </c>
    </row>
    <row r="85" spans="1:13" x14ac:dyDescent="0.25">
      <c r="A85" s="4" t="s">
        <v>175</v>
      </c>
      <c r="B85" s="8">
        <v>46065</v>
      </c>
      <c r="C85" s="4" t="s">
        <v>147</v>
      </c>
      <c r="D85" s="4" t="s">
        <v>47</v>
      </c>
      <c r="E85" s="4" t="s">
        <v>76</v>
      </c>
      <c r="F85" s="3">
        <v>11</v>
      </c>
      <c r="G85" s="2" t="str">
        <f>_xlfn.XLOOKUP(tblOrder[[#This Row],[Produktkod]], tblProd[Produktkod], tblProd[Produktnamn])</f>
        <v>Packningssats PS-3</v>
      </c>
      <c r="H85" s="2">
        <f>_xlfn.XLOOKUP(tblOrder[[#This Row],[Produktkod]], tblProd[Produktkod], tblProd[Styckpris])</f>
        <v>145</v>
      </c>
      <c r="I85" s="2">
        <f>_xlfn.XLOOKUP(tblOrder[[#This Row],[Produktkod]], tblProd[Produktkod], tblProd[Självkostnad/st])</f>
        <v>68</v>
      </c>
      <c r="J85" s="2" t="str">
        <f>_xlfn.XLOOKUP(tblOrder[[#This Row],[Kundkod]], tblKund[Kundkod], tblKund[Kund], "Okänd kund")</f>
        <v>Maskin &amp; Verktyg</v>
      </c>
      <c r="K85" s="2">
        <f>tblOrder[[#This Row],[Antal]]*tblOrder[[#This Row],[Styckpris]]</f>
        <v>1595</v>
      </c>
      <c r="L85" s="14">
        <f>_xlfn.XLOOKUP(tblOrder[[#This Row],[Antal]], tblRabatt[Min antal], tblRabatt[Rabattsats], , -1)</f>
        <v>0</v>
      </c>
      <c r="M85" s="19">
        <f t="shared" si="1"/>
        <v>847</v>
      </c>
    </row>
    <row r="86" spans="1:13" x14ac:dyDescent="0.25">
      <c r="A86" s="4" t="s">
        <v>176</v>
      </c>
      <c r="B86" s="8">
        <v>46065</v>
      </c>
      <c r="C86" s="4" t="s">
        <v>147</v>
      </c>
      <c r="D86" s="4" t="s">
        <v>21</v>
      </c>
      <c r="E86" s="4" t="s">
        <v>68</v>
      </c>
      <c r="F86" s="3">
        <v>268</v>
      </c>
      <c r="G86" s="2" t="str">
        <f>_xlfn.XLOOKUP(tblOrder[[#This Row],[Produktkod]], tblProd[Produktkod], tblProd[Produktnamn])</f>
        <v>Hydraulcylinder HC-50</v>
      </c>
      <c r="H86" s="2">
        <f>_xlfn.XLOOKUP(tblOrder[[#This Row],[Produktkod]], tblProd[Produktkod], tblProd[Styckpris])</f>
        <v>4500</v>
      </c>
      <c r="I86" s="2">
        <f>_xlfn.XLOOKUP(tblOrder[[#This Row],[Produktkod]], tblProd[Produktkod], tblProd[Självkostnad/st])</f>
        <v>2800</v>
      </c>
      <c r="J86" s="2" t="str">
        <f>_xlfn.XLOOKUP(tblOrder[[#This Row],[Kundkod]], tblKund[Kundkod], tblKund[Kund], "Okänd kund")</f>
        <v>Bosch Rexroth</v>
      </c>
      <c r="K86" s="2">
        <f>tblOrder[[#This Row],[Antal]]*tblOrder[[#This Row],[Styckpris]]</f>
        <v>1206000</v>
      </c>
      <c r="L86" s="14">
        <f>_xlfn.XLOOKUP(tblOrder[[#This Row],[Antal]], tblRabatt[Min antal], tblRabatt[Rabattsats], , -1)</f>
        <v>0.08</v>
      </c>
      <c r="M86" s="19">
        <f t="shared" si="1"/>
        <v>455600</v>
      </c>
    </row>
    <row r="87" spans="1:13" x14ac:dyDescent="0.25">
      <c r="A87" s="4" t="s">
        <v>177</v>
      </c>
      <c r="B87" s="8">
        <v>46065</v>
      </c>
      <c r="C87" s="4" t="s">
        <v>147</v>
      </c>
      <c r="D87" s="4" t="s">
        <v>21</v>
      </c>
      <c r="E87" s="4" t="s">
        <v>79</v>
      </c>
      <c r="F87" s="3">
        <v>632</v>
      </c>
      <c r="G87" s="2" t="str">
        <f>_xlfn.XLOOKUP(tblOrder[[#This Row],[Produktkod]], tblProd[Produktkod], tblProd[Produktnamn])</f>
        <v>Hydraulcylinder HC-50</v>
      </c>
      <c r="H87" s="2">
        <f>_xlfn.XLOOKUP(tblOrder[[#This Row],[Produktkod]], tblProd[Produktkod], tblProd[Styckpris])</f>
        <v>4500</v>
      </c>
      <c r="I87" s="2">
        <f>_xlfn.XLOOKUP(tblOrder[[#This Row],[Produktkod]], tblProd[Produktkod], tblProd[Självkostnad/st])</f>
        <v>2800</v>
      </c>
      <c r="J87" s="2" t="str">
        <f>_xlfn.XLOOKUP(tblOrder[[#This Row],[Kundkod]], tblKund[Kundkod], tblKund[Kund], "Okänd kund")</f>
        <v>Industrikomponenter</v>
      </c>
      <c r="K87" s="2">
        <f>tblOrder[[#This Row],[Antal]]*tblOrder[[#This Row],[Styckpris]]</f>
        <v>2844000</v>
      </c>
      <c r="L87" s="14">
        <f>_xlfn.XLOOKUP(tblOrder[[#This Row],[Antal]], tblRabatt[Min antal], tblRabatt[Rabattsats], , -1)</f>
        <v>0.12</v>
      </c>
      <c r="M87" s="19">
        <f t="shared" si="1"/>
        <v>1074400</v>
      </c>
    </row>
    <row r="88" spans="1:13" x14ac:dyDescent="0.25">
      <c r="A88" s="4" t="s">
        <v>178</v>
      </c>
      <c r="B88" s="8">
        <v>46066</v>
      </c>
      <c r="C88" s="4" t="s">
        <v>147</v>
      </c>
      <c r="D88" s="4" t="s">
        <v>45</v>
      </c>
      <c r="E88" s="4" t="s">
        <v>65</v>
      </c>
      <c r="F88" s="3">
        <v>43</v>
      </c>
      <c r="G88" s="2" t="str">
        <f>_xlfn.XLOOKUP(tblOrder[[#This Row],[Produktkod]], tblProd[Produktkod], tblProd[Produktnamn])</f>
        <v>Tätningskit TK-9</v>
      </c>
      <c r="H88" s="2">
        <f>_xlfn.XLOOKUP(tblOrder[[#This Row],[Produktkod]], tblProd[Produktkod], tblProd[Styckpris])</f>
        <v>210</v>
      </c>
      <c r="I88" s="2">
        <f>_xlfn.XLOOKUP(tblOrder[[#This Row],[Produktkod]], tblProd[Produktkod], tblProd[Självkostnad/st])</f>
        <v>95</v>
      </c>
      <c r="J88" s="2" t="str">
        <f>_xlfn.XLOOKUP(tblOrder[[#This Row],[Kundkod]], tblKund[Kundkod], tblKund[Kund], "Okänd kund")</f>
        <v>Wärtsilä</v>
      </c>
      <c r="K88" s="2">
        <f>tblOrder[[#This Row],[Antal]]*tblOrder[[#This Row],[Styckpris]]</f>
        <v>9030</v>
      </c>
      <c r="L88" s="14">
        <f>_xlfn.XLOOKUP(tblOrder[[#This Row],[Antal]], tblRabatt[Min antal], tblRabatt[Rabattsats], , -1)</f>
        <v>0</v>
      </c>
      <c r="M88" s="19">
        <f t="shared" si="1"/>
        <v>4945</v>
      </c>
    </row>
    <row r="89" spans="1:13" x14ac:dyDescent="0.25">
      <c r="A89" s="4" t="s">
        <v>179</v>
      </c>
      <c r="B89" s="8">
        <v>46066</v>
      </c>
      <c r="C89" s="4" t="s">
        <v>147</v>
      </c>
      <c r="D89" s="4" t="s">
        <v>33</v>
      </c>
      <c r="E89" s="4" t="s">
        <v>68</v>
      </c>
      <c r="F89" s="3">
        <v>5</v>
      </c>
      <c r="G89" s="2" t="str">
        <f>_xlfn.XLOOKUP(tblOrder[[#This Row],[Produktkod]], tblProd[Produktkod], tblProd[Produktnamn])</f>
        <v>Skruvkit SK-100</v>
      </c>
      <c r="H89" s="2">
        <f>_xlfn.XLOOKUP(tblOrder[[#This Row],[Produktkod]], tblProd[Produktkod], tblProd[Styckpris])</f>
        <v>320</v>
      </c>
      <c r="I89" s="2">
        <f>_xlfn.XLOOKUP(tblOrder[[#This Row],[Produktkod]], tblProd[Produktkod], tblProd[Självkostnad/st])</f>
        <v>165</v>
      </c>
      <c r="J89" s="2" t="str">
        <f>_xlfn.XLOOKUP(tblOrder[[#This Row],[Kundkod]], tblKund[Kundkod], tblKund[Kund], "Okänd kund")</f>
        <v>Bosch Rexroth</v>
      </c>
      <c r="K89" s="2">
        <f>tblOrder[[#This Row],[Antal]]*tblOrder[[#This Row],[Styckpris]]</f>
        <v>1600</v>
      </c>
      <c r="L89" s="14">
        <f>_xlfn.XLOOKUP(tblOrder[[#This Row],[Antal]], tblRabatt[Min antal], tblRabatt[Rabattsats], , -1)</f>
        <v>0</v>
      </c>
      <c r="M89" s="19">
        <f t="shared" si="1"/>
        <v>775</v>
      </c>
    </row>
    <row r="90" spans="1:13" x14ac:dyDescent="0.25">
      <c r="A90" s="4" t="s">
        <v>180</v>
      </c>
      <c r="B90" s="8">
        <v>46066</v>
      </c>
      <c r="C90" s="4" t="s">
        <v>147</v>
      </c>
      <c r="D90" s="4" t="s">
        <v>33</v>
      </c>
      <c r="E90" s="4" t="s">
        <v>79</v>
      </c>
      <c r="F90" s="3">
        <v>75</v>
      </c>
      <c r="G90" s="2" t="str">
        <f>_xlfn.XLOOKUP(tblOrder[[#This Row],[Produktkod]], tblProd[Produktkod], tblProd[Produktnamn])</f>
        <v>Skruvkit SK-100</v>
      </c>
      <c r="H90" s="2">
        <f>_xlfn.XLOOKUP(tblOrder[[#This Row],[Produktkod]], tblProd[Produktkod], tblProd[Styckpris])</f>
        <v>320</v>
      </c>
      <c r="I90" s="2">
        <f>_xlfn.XLOOKUP(tblOrder[[#This Row],[Produktkod]], tblProd[Produktkod], tblProd[Självkostnad/st])</f>
        <v>165</v>
      </c>
      <c r="J90" s="2" t="str">
        <f>_xlfn.XLOOKUP(tblOrder[[#This Row],[Kundkod]], tblKund[Kundkod], tblKund[Kund], "Okänd kund")</f>
        <v>Industrikomponenter</v>
      </c>
      <c r="K90" s="2">
        <f>tblOrder[[#This Row],[Antal]]*tblOrder[[#This Row],[Styckpris]]</f>
        <v>24000</v>
      </c>
      <c r="L90" s="14">
        <f>_xlfn.XLOOKUP(tblOrder[[#This Row],[Antal]], tblRabatt[Min antal], tblRabatt[Rabattsats], , -1)</f>
        <v>0.03</v>
      </c>
      <c r="M90" s="19">
        <f t="shared" si="1"/>
        <v>11625</v>
      </c>
    </row>
    <row r="91" spans="1:13" x14ac:dyDescent="0.25">
      <c r="A91" s="4" t="s">
        <v>181</v>
      </c>
      <c r="B91" s="8">
        <v>46066</v>
      </c>
      <c r="C91" s="4" t="s">
        <v>147</v>
      </c>
      <c r="D91" s="4" t="s">
        <v>45</v>
      </c>
      <c r="E91" s="4" t="s">
        <v>62</v>
      </c>
      <c r="F91" s="3">
        <v>788</v>
      </c>
      <c r="G91" s="2" t="str">
        <f>_xlfn.XLOOKUP(tblOrder[[#This Row],[Produktkod]], tblProd[Produktkod], tblProd[Produktnamn])</f>
        <v>Tätningskit TK-9</v>
      </c>
      <c r="H91" s="2">
        <f>_xlfn.XLOOKUP(tblOrder[[#This Row],[Produktkod]], tblProd[Produktkod], tblProd[Styckpris])</f>
        <v>210</v>
      </c>
      <c r="I91" s="2">
        <f>_xlfn.XLOOKUP(tblOrder[[#This Row],[Produktkod]], tblProd[Produktkod], tblProd[Självkostnad/st])</f>
        <v>95</v>
      </c>
      <c r="J91" s="2" t="str">
        <f>_xlfn.XLOOKUP(tblOrder[[#This Row],[Kundkod]], tblKund[Kundkod], tblKund[Kund], "Okänd kund")</f>
        <v>Danfoss A/S</v>
      </c>
      <c r="K91" s="2">
        <f>tblOrder[[#This Row],[Antal]]*tblOrder[[#This Row],[Styckpris]]</f>
        <v>165480</v>
      </c>
      <c r="L91" s="14">
        <f>_xlfn.XLOOKUP(tblOrder[[#This Row],[Antal]], tblRabatt[Min antal], tblRabatt[Rabattsats], , -1)</f>
        <v>0.12</v>
      </c>
      <c r="M91" s="19">
        <f t="shared" si="1"/>
        <v>90620</v>
      </c>
    </row>
    <row r="92" spans="1:13" x14ac:dyDescent="0.25">
      <c r="A92" s="4" t="s">
        <v>182</v>
      </c>
      <c r="B92" s="8">
        <v>46066</v>
      </c>
      <c r="C92" s="4" t="s">
        <v>147</v>
      </c>
      <c r="D92" s="4" t="s">
        <v>47</v>
      </c>
      <c r="E92" s="4" t="s">
        <v>71</v>
      </c>
      <c r="F92" s="3">
        <v>78</v>
      </c>
      <c r="G92" s="2" t="str">
        <f>_xlfn.XLOOKUP(tblOrder[[#This Row],[Produktkod]], tblProd[Produktkod], tblProd[Produktnamn])</f>
        <v>Packningssats PS-3</v>
      </c>
      <c r="H92" s="2">
        <f>_xlfn.XLOOKUP(tblOrder[[#This Row],[Produktkod]], tblProd[Produktkod], tblProd[Styckpris])</f>
        <v>145</v>
      </c>
      <c r="I92" s="2">
        <f>_xlfn.XLOOKUP(tblOrder[[#This Row],[Produktkod]], tblProd[Produktkod], tblProd[Självkostnad/st])</f>
        <v>68</v>
      </c>
      <c r="J92" s="2" t="str">
        <f>_xlfn.XLOOKUP(tblOrder[[#This Row],[Kundkod]], tblKund[Kundkod], tblKund[Kund], "Okänd kund")</f>
        <v>Hydraul-Service AB</v>
      </c>
      <c r="K92" s="2">
        <f>tblOrder[[#This Row],[Antal]]*tblOrder[[#This Row],[Styckpris]]</f>
        <v>11310</v>
      </c>
      <c r="L92" s="14">
        <f>_xlfn.XLOOKUP(tblOrder[[#This Row],[Antal]], tblRabatt[Min antal], tblRabatt[Rabattsats], , -1)</f>
        <v>0.03</v>
      </c>
      <c r="M92" s="19">
        <f t="shared" si="1"/>
        <v>6006</v>
      </c>
    </row>
    <row r="93" spans="1:13" x14ac:dyDescent="0.25">
      <c r="A93" s="4" t="s">
        <v>183</v>
      </c>
      <c r="B93" s="8">
        <v>46066</v>
      </c>
      <c r="C93" s="4" t="s">
        <v>147</v>
      </c>
      <c r="D93" s="4" t="s">
        <v>28</v>
      </c>
      <c r="E93" s="4" t="s">
        <v>71</v>
      </c>
      <c r="F93" s="3">
        <v>50</v>
      </c>
      <c r="G93" s="2" t="str">
        <f>_xlfn.XLOOKUP(tblOrder[[#This Row],[Produktkod]], tblProd[Produktkod], tblProd[Produktnamn])</f>
        <v>Montagesats MS-10</v>
      </c>
      <c r="H93" s="2">
        <f>_xlfn.XLOOKUP(tblOrder[[#This Row],[Produktkod]], tblProd[Produktkod], tblProd[Styckpris])</f>
        <v>1250</v>
      </c>
      <c r="I93" s="2">
        <f>_xlfn.XLOOKUP(tblOrder[[#This Row],[Produktkod]], tblProd[Produktkod], tblProd[Självkostnad/st])</f>
        <v>720</v>
      </c>
      <c r="J93" s="2" t="str">
        <f>_xlfn.XLOOKUP(tblOrder[[#This Row],[Kundkod]], tblKund[Kundkod], tblKund[Kund], "Okänd kund")</f>
        <v>Hydraul-Service AB</v>
      </c>
      <c r="K93" s="2">
        <f>tblOrder[[#This Row],[Antal]]*tblOrder[[#This Row],[Styckpris]]</f>
        <v>62500</v>
      </c>
      <c r="L93" s="14">
        <f>_xlfn.XLOOKUP(tblOrder[[#This Row],[Antal]], tblRabatt[Min antal], tblRabatt[Rabattsats], , -1)</f>
        <v>0.03</v>
      </c>
      <c r="M93" s="19">
        <f t="shared" si="1"/>
        <v>26500</v>
      </c>
    </row>
    <row r="94" spans="1:13" x14ac:dyDescent="0.25">
      <c r="A94" s="4" t="s">
        <v>184</v>
      </c>
      <c r="B94" s="8">
        <v>46067</v>
      </c>
      <c r="C94" s="4" t="s">
        <v>147</v>
      </c>
      <c r="D94" s="4" t="s">
        <v>38</v>
      </c>
      <c r="E94" s="4" t="s">
        <v>53</v>
      </c>
      <c r="F94" s="3">
        <v>364</v>
      </c>
      <c r="G94" s="2" t="str">
        <f>_xlfn.XLOOKUP(tblOrder[[#This Row],[Produktkod]], tblProd[Produktkod], tblProd[Produktnamn])</f>
        <v>Sensor S-45</v>
      </c>
      <c r="H94" s="2">
        <f>_xlfn.XLOOKUP(tblOrder[[#This Row],[Produktkod]], tblProd[Produktkod], tblProd[Styckpris])</f>
        <v>2100</v>
      </c>
      <c r="I94" s="2">
        <f>_xlfn.XLOOKUP(tblOrder[[#This Row],[Produktkod]], tblProd[Produktkod], tblProd[Självkostnad/st])</f>
        <v>1180</v>
      </c>
      <c r="J94" s="2" t="str">
        <f>_xlfn.XLOOKUP(tblOrder[[#This Row],[Kundkod]], tblKund[Kundkod], tblKund[Kund], "Okänd kund")</f>
        <v>Volvo Lastvagnar</v>
      </c>
      <c r="K94" s="2">
        <f>tblOrder[[#This Row],[Antal]]*tblOrder[[#This Row],[Styckpris]]</f>
        <v>764400</v>
      </c>
      <c r="L94" s="14">
        <f>_xlfn.XLOOKUP(tblOrder[[#This Row],[Antal]], tblRabatt[Min antal], tblRabatt[Rabattsats], , -1)</f>
        <v>0.08</v>
      </c>
      <c r="M94" s="19">
        <f t="shared" si="1"/>
        <v>334880</v>
      </c>
    </row>
    <row r="95" spans="1:13" x14ac:dyDescent="0.25">
      <c r="A95" s="4" t="s">
        <v>185</v>
      </c>
      <c r="B95" s="8">
        <v>46067</v>
      </c>
      <c r="C95" s="4" t="s">
        <v>147</v>
      </c>
      <c r="D95" s="4" t="s">
        <v>38</v>
      </c>
      <c r="E95" s="4" t="s">
        <v>79</v>
      </c>
      <c r="F95" s="3">
        <v>21</v>
      </c>
      <c r="G95" s="2" t="str">
        <f>_xlfn.XLOOKUP(tblOrder[[#This Row],[Produktkod]], tblProd[Produktkod], tblProd[Produktnamn])</f>
        <v>Sensor S-45</v>
      </c>
      <c r="H95" s="2">
        <f>_xlfn.XLOOKUP(tblOrder[[#This Row],[Produktkod]], tblProd[Produktkod], tblProd[Styckpris])</f>
        <v>2100</v>
      </c>
      <c r="I95" s="2">
        <f>_xlfn.XLOOKUP(tblOrder[[#This Row],[Produktkod]], tblProd[Produktkod], tblProd[Självkostnad/st])</f>
        <v>1180</v>
      </c>
      <c r="J95" s="2" t="str">
        <f>_xlfn.XLOOKUP(tblOrder[[#This Row],[Kundkod]], tblKund[Kundkod], tblKund[Kund], "Okänd kund")</f>
        <v>Industrikomponenter</v>
      </c>
      <c r="K95" s="2">
        <f>tblOrder[[#This Row],[Antal]]*tblOrder[[#This Row],[Styckpris]]</f>
        <v>44100</v>
      </c>
      <c r="L95" s="14">
        <f>_xlfn.XLOOKUP(tblOrder[[#This Row],[Antal]], tblRabatt[Min antal], tblRabatt[Rabattsats], , -1)</f>
        <v>0</v>
      </c>
      <c r="M95" s="19">
        <f t="shared" si="1"/>
        <v>19320</v>
      </c>
    </row>
    <row r="96" spans="1:13" x14ac:dyDescent="0.25">
      <c r="A96" s="4" t="s">
        <v>186</v>
      </c>
      <c r="B96" s="8">
        <v>46067</v>
      </c>
      <c r="C96" s="4" t="s">
        <v>147</v>
      </c>
      <c r="D96" s="4" t="s">
        <v>40</v>
      </c>
      <c r="E96" s="4" t="s">
        <v>59</v>
      </c>
      <c r="F96" s="3">
        <v>84</v>
      </c>
      <c r="G96" s="2" t="str">
        <f>_xlfn.XLOOKUP(tblOrder[[#This Row],[Produktkod]], tblProd[Produktkod], tblProd[Produktnamn])</f>
        <v>Kabelhärva KH-7</v>
      </c>
      <c r="H96" s="2">
        <f>_xlfn.XLOOKUP(tblOrder[[#This Row],[Produktkod]], tblProd[Produktkod], tblProd[Styckpris])</f>
        <v>890</v>
      </c>
      <c r="I96" s="2">
        <f>_xlfn.XLOOKUP(tblOrder[[#This Row],[Produktkod]], tblProd[Produktkod], tblProd[Självkostnad/st])</f>
        <v>510</v>
      </c>
      <c r="J96" s="2" t="str">
        <f>_xlfn.XLOOKUP(tblOrder[[#This Row],[Kundkod]], tblKund[Kundkod], tblKund[Kund], "Okänd kund")</f>
        <v>Kongsberg Automotive</v>
      </c>
      <c r="K96" s="2">
        <f>tblOrder[[#This Row],[Antal]]*tblOrder[[#This Row],[Styckpris]]</f>
        <v>74760</v>
      </c>
      <c r="L96" s="14">
        <f>_xlfn.XLOOKUP(tblOrder[[#This Row],[Antal]], tblRabatt[Min antal], tblRabatt[Rabattsats], , -1)</f>
        <v>0.03</v>
      </c>
      <c r="M96" s="19">
        <f t="shared" si="1"/>
        <v>31920</v>
      </c>
    </row>
    <row r="97" spans="1:13" x14ac:dyDescent="0.25">
      <c r="A97" s="4" t="s">
        <v>187</v>
      </c>
      <c r="B97" s="8">
        <v>46067</v>
      </c>
      <c r="C97" s="4" t="s">
        <v>147</v>
      </c>
      <c r="D97" s="4" t="s">
        <v>21</v>
      </c>
      <c r="E97" s="4" t="s">
        <v>76</v>
      </c>
      <c r="F97" s="3">
        <v>29</v>
      </c>
      <c r="G97" s="2" t="str">
        <f>_xlfn.XLOOKUP(tblOrder[[#This Row],[Produktkod]], tblProd[Produktkod], tblProd[Produktnamn])</f>
        <v>Hydraulcylinder HC-50</v>
      </c>
      <c r="H97" s="2">
        <f>_xlfn.XLOOKUP(tblOrder[[#This Row],[Produktkod]], tblProd[Produktkod], tblProd[Styckpris])</f>
        <v>4500</v>
      </c>
      <c r="I97" s="2">
        <f>_xlfn.XLOOKUP(tblOrder[[#This Row],[Produktkod]], tblProd[Produktkod], tblProd[Självkostnad/st])</f>
        <v>2800</v>
      </c>
      <c r="J97" s="2" t="str">
        <f>_xlfn.XLOOKUP(tblOrder[[#This Row],[Kundkod]], tblKund[Kundkod], tblKund[Kund], "Okänd kund")</f>
        <v>Maskin &amp; Verktyg</v>
      </c>
      <c r="K97" s="2">
        <f>tblOrder[[#This Row],[Antal]]*tblOrder[[#This Row],[Styckpris]]</f>
        <v>130500</v>
      </c>
      <c r="L97" s="14">
        <f>_xlfn.XLOOKUP(tblOrder[[#This Row],[Antal]], tblRabatt[Min antal], tblRabatt[Rabattsats], , -1)</f>
        <v>0</v>
      </c>
      <c r="M97" s="19">
        <f t="shared" si="1"/>
        <v>49300</v>
      </c>
    </row>
    <row r="98" spans="1:13" x14ac:dyDescent="0.25">
      <c r="A98" s="4" t="s">
        <v>188</v>
      </c>
      <c r="B98" s="8">
        <v>46067</v>
      </c>
      <c r="C98" s="4" t="s">
        <v>147</v>
      </c>
      <c r="D98" s="4" t="s">
        <v>26</v>
      </c>
      <c r="E98" s="4" t="s">
        <v>65</v>
      </c>
      <c r="F98" s="3">
        <v>221</v>
      </c>
      <c r="G98" s="2" t="str">
        <f>_xlfn.XLOOKUP(tblOrder[[#This Row],[Produktkod]], tblProd[Produktkod], tblProd[Produktnamn])</f>
        <v>Ventilblock VB-30</v>
      </c>
      <c r="H98" s="2">
        <f>_xlfn.XLOOKUP(tblOrder[[#This Row],[Produktkod]], tblProd[Produktkod], tblProd[Styckpris])</f>
        <v>3200</v>
      </c>
      <c r="I98" s="2">
        <f>_xlfn.XLOOKUP(tblOrder[[#This Row],[Produktkod]], tblProd[Produktkod], tblProd[Självkostnad/st])</f>
        <v>1950</v>
      </c>
      <c r="J98" s="2" t="str">
        <f>_xlfn.XLOOKUP(tblOrder[[#This Row],[Kundkod]], tblKund[Kundkod], tblKund[Kund], "Okänd kund")</f>
        <v>Wärtsilä</v>
      </c>
      <c r="K98" s="2">
        <f>tblOrder[[#This Row],[Antal]]*tblOrder[[#This Row],[Styckpris]]</f>
        <v>707200</v>
      </c>
      <c r="L98" s="14">
        <f>_xlfn.XLOOKUP(tblOrder[[#This Row],[Antal]], tblRabatt[Min antal], tblRabatt[Rabattsats], , -1)</f>
        <v>0.05</v>
      </c>
      <c r="M98" s="19">
        <f t="shared" si="1"/>
        <v>276250</v>
      </c>
    </row>
    <row r="99" spans="1:13" x14ac:dyDescent="0.25">
      <c r="A99" s="4" t="s">
        <v>189</v>
      </c>
      <c r="B99" s="8">
        <v>46067</v>
      </c>
      <c r="C99" s="4" t="s">
        <v>147</v>
      </c>
      <c r="D99" s="4" t="s">
        <v>26</v>
      </c>
      <c r="E99" s="4" t="s">
        <v>74</v>
      </c>
      <c r="F99" s="3">
        <v>14</v>
      </c>
      <c r="G99" s="2" t="str">
        <f>_xlfn.XLOOKUP(tblOrder[[#This Row],[Produktkod]], tblProd[Produktkod], tblProd[Produktnamn])</f>
        <v>Ventilblock VB-30</v>
      </c>
      <c r="H99" s="2">
        <f>_xlfn.XLOOKUP(tblOrder[[#This Row],[Produktkod]], tblProd[Produktkod], tblProd[Styckpris])</f>
        <v>3200</v>
      </c>
      <c r="I99" s="2">
        <f>_xlfn.XLOOKUP(tblOrder[[#This Row],[Produktkod]], tblProd[Produktkod], tblProd[Självkostnad/st])</f>
        <v>1950</v>
      </c>
      <c r="J99" s="2" t="str">
        <f>_xlfn.XLOOKUP(tblOrder[[#This Row],[Kundkod]], tblKund[Kundkod], tblKund[Kund], "Okänd kund")</f>
        <v>Nordic Parts AS</v>
      </c>
      <c r="K99" s="2">
        <f>tblOrder[[#This Row],[Antal]]*tblOrder[[#This Row],[Styckpris]]</f>
        <v>44800</v>
      </c>
      <c r="L99" s="14">
        <f>_xlfn.XLOOKUP(tblOrder[[#This Row],[Antal]], tblRabatt[Min antal], tblRabatt[Rabattsats], , -1)</f>
        <v>0</v>
      </c>
      <c r="M99" s="19">
        <f t="shared" si="1"/>
        <v>17500</v>
      </c>
    </row>
    <row r="100" spans="1:13" x14ac:dyDescent="0.25">
      <c r="A100" s="4" t="s">
        <v>190</v>
      </c>
      <c r="B100" s="8">
        <v>46068</v>
      </c>
      <c r="C100" s="4" t="s">
        <v>147</v>
      </c>
      <c r="D100" s="4" t="s">
        <v>38</v>
      </c>
      <c r="E100" s="4" t="s">
        <v>57</v>
      </c>
      <c r="F100" s="3">
        <v>126</v>
      </c>
      <c r="G100" s="2" t="str">
        <f>_xlfn.XLOOKUP(tblOrder[[#This Row],[Produktkod]], tblProd[Produktkod], tblProd[Produktnamn])</f>
        <v>Sensor S-45</v>
      </c>
      <c r="H100" s="2">
        <f>_xlfn.XLOOKUP(tblOrder[[#This Row],[Produktkod]], tblProd[Produktkod], tblProd[Styckpris])</f>
        <v>2100</v>
      </c>
      <c r="I100" s="2">
        <f>_xlfn.XLOOKUP(tblOrder[[#This Row],[Produktkod]], tblProd[Produktkod], tblProd[Självkostnad/st])</f>
        <v>1180</v>
      </c>
      <c r="J100" s="2" t="str">
        <f>_xlfn.XLOOKUP(tblOrder[[#This Row],[Kundkod]], tblKund[Kundkod], tblKund[Kund], "Okänd kund")</f>
        <v>Scania CV</v>
      </c>
      <c r="K100" s="2">
        <f>tblOrder[[#This Row],[Antal]]*tblOrder[[#This Row],[Styckpris]]</f>
        <v>264600</v>
      </c>
      <c r="L100" s="14">
        <f>_xlfn.XLOOKUP(tblOrder[[#This Row],[Antal]], tblRabatt[Min antal], tblRabatt[Rabattsats], , -1)</f>
        <v>0.05</v>
      </c>
      <c r="M100" s="19">
        <f t="shared" si="1"/>
        <v>115920</v>
      </c>
    </row>
    <row r="101" spans="1:13" x14ac:dyDescent="0.25">
      <c r="A101" s="4" t="s">
        <v>191</v>
      </c>
      <c r="B101" s="8">
        <v>46068</v>
      </c>
      <c r="C101" s="4" t="s">
        <v>147</v>
      </c>
      <c r="D101" s="4" t="s">
        <v>26</v>
      </c>
      <c r="E101" s="4" t="s">
        <v>57</v>
      </c>
      <c r="F101" s="3">
        <v>184</v>
      </c>
      <c r="G101" s="2" t="str">
        <f>_xlfn.XLOOKUP(tblOrder[[#This Row],[Produktkod]], tblProd[Produktkod], tblProd[Produktnamn])</f>
        <v>Ventilblock VB-30</v>
      </c>
      <c r="H101" s="2">
        <f>_xlfn.XLOOKUP(tblOrder[[#This Row],[Produktkod]], tblProd[Produktkod], tblProd[Styckpris])</f>
        <v>3200</v>
      </c>
      <c r="I101" s="2">
        <f>_xlfn.XLOOKUP(tblOrder[[#This Row],[Produktkod]], tblProd[Produktkod], tblProd[Självkostnad/st])</f>
        <v>1950</v>
      </c>
      <c r="J101" s="2" t="str">
        <f>_xlfn.XLOOKUP(tblOrder[[#This Row],[Kundkod]], tblKund[Kundkod], tblKund[Kund], "Okänd kund")</f>
        <v>Scania CV</v>
      </c>
      <c r="K101" s="2">
        <f>tblOrder[[#This Row],[Antal]]*tblOrder[[#This Row],[Styckpris]]</f>
        <v>588800</v>
      </c>
      <c r="L101" s="14">
        <f>_xlfn.XLOOKUP(tblOrder[[#This Row],[Antal]], tblRabatt[Min antal], tblRabatt[Rabattsats], , -1)</f>
        <v>0.05</v>
      </c>
      <c r="M101" s="19">
        <f t="shared" si="1"/>
        <v>230000</v>
      </c>
    </row>
    <row r="102" spans="1:13" x14ac:dyDescent="0.25">
      <c r="A102" s="4" t="s">
        <v>192</v>
      </c>
      <c r="B102" s="8">
        <v>46069</v>
      </c>
      <c r="C102" s="4" t="s">
        <v>147</v>
      </c>
      <c r="D102" s="4" t="s">
        <v>24</v>
      </c>
      <c r="E102" s="4" t="s">
        <v>65</v>
      </c>
      <c r="F102" s="3">
        <v>122</v>
      </c>
      <c r="G102" s="2" t="str">
        <f>_xlfn.XLOOKUP(tblOrder[[#This Row],[Produktkod]], tblProd[Produktkod], tblProd[Produktnamn])</f>
        <v>Hydraulpump HP-200</v>
      </c>
      <c r="H102" s="2">
        <f>_xlfn.XLOOKUP(tblOrder[[#This Row],[Produktkod]], tblProd[Produktkod], tblProd[Styckpris])</f>
        <v>8900</v>
      </c>
      <c r="I102" s="2">
        <f>_xlfn.XLOOKUP(tblOrder[[#This Row],[Produktkod]], tblProd[Produktkod], tblProd[Självkostnad/st])</f>
        <v>5600</v>
      </c>
      <c r="J102" s="2" t="str">
        <f>_xlfn.XLOOKUP(tblOrder[[#This Row],[Kundkod]], tblKund[Kundkod], tblKund[Kund], "Okänd kund")</f>
        <v>Wärtsilä</v>
      </c>
      <c r="K102" s="2">
        <f>tblOrder[[#This Row],[Antal]]*tblOrder[[#This Row],[Styckpris]]</f>
        <v>1085800</v>
      </c>
      <c r="L102" s="14">
        <f>_xlfn.XLOOKUP(tblOrder[[#This Row],[Antal]], tblRabatt[Min antal], tblRabatt[Rabattsats], , -1)</f>
        <v>0.05</v>
      </c>
      <c r="M102" s="19">
        <f t="shared" si="1"/>
        <v>402600</v>
      </c>
    </row>
    <row r="103" spans="1:13" x14ac:dyDescent="0.25">
      <c r="A103" s="4" t="s">
        <v>193</v>
      </c>
      <c r="B103" s="8">
        <v>46070</v>
      </c>
      <c r="C103" s="4" t="s">
        <v>147</v>
      </c>
      <c r="D103" s="4" t="s">
        <v>33</v>
      </c>
      <c r="E103" s="4" t="s">
        <v>59</v>
      </c>
      <c r="F103" s="3">
        <v>69</v>
      </c>
      <c r="G103" s="2" t="str">
        <f>_xlfn.XLOOKUP(tblOrder[[#This Row],[Produktkod]], tblProd[Produktkod], tblProd[Produktnamn])</f>
        <v>Skruvkit SK-100</v>
      </c>
      <c r="H103" s="2">
        <f>_xlfn.XLOOKUP(tblOrder[[#This Row],[Produktkod]], tblProd[Produktkod], tblProd[Styckpris])</f>
        <v>320</v>
      </c>
      <c r="I103" s="2">
        <f>_xlfn.XLOOKUP(tblOrder[[#This Row],[Produktkod]], tblProd[Produktkod], tblProd[Självkostnad/st])</f>
        <v>165</v>
      </c>
      <c r="J103" s="2" t="str">
        <f>_xlfn.XLOOKUP(tblOrder[[#This Row],[Kundkod]], tblKund[Kundkod], tblKund[Kund], "Okänd kund")</f>
        <v>Kongsberg Automotive</v>
      </c>
      <c r="K103" s="2">
        <f>tblOrder[[#This Row],[Antal]]*tblOrder[[#This Row],[Styckpris]]</f>
        <v>22080</v>
      </c>
      <c r="L103" s="14">
        <f>_xlfn.XLOOKUP(tblOrder[[#This Row],[Antal]], tblRabatt[Min antal], tblRabatt[Rabattsats], , -1)</f>
        <v>0.03</v>
      </c>
      <c r="M103" s="19">
        <f t="shared" si="1"/>
        <v>10695</v>
      </c>
    </row>
    <row r="104" spans="1:13" x14ac:dyDescent="0.25">
      <c r="A104" s="4" t="s">
        <v>194</v>
      </c>
      <c r="B104" s="8">
        <v>46070</v>
      </c>
      <c r="C104" s="4" t="s">
        <v>147</v>
      </c>
      <c r="D104" s="4" t="s">
        <v>40</v>
      </c>
      <c r="E104" s="4" t="s">
        <v>59</v>
      </c>
      <c r="F104" s="3">
        <v>78</v>
      </c>
      <c r="G104" s="2" t="str">
        <f>_xlfn.XLOOKUP(tblOrder[[#This Row],[Produktkod]], tblProd[Produktkod], tblProd[Produktnamn])</f>
        <v>Kabelhärva KH-7</v>
      </c>
      <c r="H104" s="2">
        <f>_xlfn.XLOOKUP(tblOrder[[#This Row],[Produktkod]], tblProd[Produktkod], tblProd[Styckpris])</f>
        <v>890</v>
      </c>
      <c r="I104" s="2">
        <f>_xlfn.XLOOKUP(tblOrder[[#This Row],[Produktkod]], tblProd[Produktkod], tblProd[Självkostnad/st])</f>
        <v>510</v>
      </c>
      <c r="J104" s="2" t="str">
        <f>_xlfn.XLOOKUP(tblOrder[[#This Row],[Kundkod]], tblKund[Kundkod], tblKund[Kund], "Okänd kund")</f>
        <v>Kongsberg Automotive</v>
      </c>
      <c r="K104" s="2">
        <f>tblOrder[[#This Row],[Antal]]*tblOrder[[#This Row],[Styckpris]]</f>
        <v>69420</v>
      </c>
      <c r="L104" s="14">
        <f>_xlfn.XLOOKUP(tblOrder[[#This Row],[Antal]], tblRabatt[Min antal], tblRabatt[Rabattsats], , -1)</f>
        <v>0.03</v>
      </c>
      <c r="M104" s="19">
        <f t="shared" si="1"/>
        <v>29640</v>
      </c>
    </row>
    <row r="105" spans="1:13" x14ac:dyDescent="0.25">
      <c r="A105" s="4" t="s">
        <v>195</v>
      </c>
      <c r="B105" s="8">
        <v>46073</v>
      </c>
      <c r="C105" s="4" t="s">
        <v>147</v>
      </c>
      <c r="D105" s="4" t="s">
        <v>35</v>
      </c>
      <c r="E105" s="4" t="s">
        <v>71</v>
      </c>
      <c r="F105" s="3">
        <v>695</v>
      </c>
      <c r="G105" s="2" t="str">
        <f>_xlfn.XLOOKUP(tblOrder[[#This Row],[Produktkod]], tblProd[Produktkod], tblProd[Produktnamn])</f>
        <v>Styrenhet CU-X1</v>
      </c>
      <c r="H105" s="2">
        <f>_xlfn.XLOOKUP(tblOrder[[#This Row],[Produktkod]], tblProd[Produktkod], tblProd[Styckpris])</f>
        <v>12500</v>
      </c>
      <c r="I105" s="2">
        <f>_xlfn.XLOOKUP(tblOrder[[#This Row],[Produktkod]], tblProd[Produktkod], tblProd[Självkostnad/st])</f>
        <v>8200</v>
      </c>
      <c r="J105" s="2" t="str">
        <f>_xlfn.XLOOKUP(tblOrder[[#This Row],[Kundkod]], tblKund[Kundkod], tblKund[Kund], "Okänd kund")</f>
        <v>Hydraul-Service AB</v>
      </c>
      <c r="K105" s="2">
        <f>tblOrder[[#This Row],[Antal]]*tblOrder[[#This Row],[Styckpris]]</f>
        <v>8687500</v>
      </c>
      <c r="L105" s="14">
        <f>_xlfn.XLOOKUP(tblOrder[[#This Row],[Antal]], tblRabatt[Min antal], tblRabatt[Rabattsats], , -1)</f>
        <v>0.12</v>
      </c>
      <c r="M105" s="19">
        <f t="shared" si="1"/>
        <v>2988500</v>
      </c>
    </row>
    <row r="106" spans="1:13" x14ac:dyDescent="0.25">
      <c r="A106" s="4" t="s">
        <v>196</v>
      </c>
      <c r="B106" s="8">
        <v>46073</v>
      </c>
      <c r="C106" s="4" t="s">
        <v>147</v>
      </c>
      <c r="D106" s="4" t="s">
        <v>35</v>
      </c>
      <c r="E106" s="4" t="s">
        <v>53</v>
      </c>
      <c r="F106" s="3">
        <v>440</v>
      </c>
      <c r="G106" s="2" t="str">
        <f>_xlfn.XLOOKUP(tblOrder[[#This Row],[Produktkod]], tblProd[Produktkod], tblProd[Produktnamn])</f>
        <v>Styrenhet CU-X1</v>
      </c>
      <c r="H106" s="2">
        <f>_xlfn.XLOOKUP(tblOrder[[#This Row],[Produktkod]], tblProd[Produktkod], tblProd[Styckpris])</f>
        <v>12500</v>
      </c>
      <c r="I106" s="2">
        <f>_xlfn.XLOOKUP(tblOrder[[#This Row],[Produktkod]], tblProd[Produktkod], tblProd[Självkostnad/st])</f>
        <v>8200</v>
      </c>
      <c r="J106" s="2" t="str">
        <f>_xlfn.XLOOKUP(tblOrder[[#This Row],[Kundkod]], tblKund[Kundkod], tblKund[Kund], "Okänd kund")</f>
        <v>Volvo Lastvagnar</v>
      </c>
      <c r="K106" s="2">
        <f>tblOrder[[#This Row],[Antal]]*tblOrder[[#This Row],[Styckpris]]</f>
        <v>5500000</v>
      </c>
      <c r="L106" s="14">
        <f>_xlfn.XLOOKUP(tblOrder[[#This Row],[Antal]], tblRabatt[Min antal], tblRabatt[Rabattsats], , -1)</f>
        <v>0.08</v>
      </c>
      <c r="M106" s="19">
        <f t="shared" si="1"/>
        <v>1892000</v>
      </c>
    </row>
    <row r="107" spans="1:13" x14ac:dyDescent="0.25">
      <c r="A107" s="4" t="s">
        <v>197</v>
      </c>
      <c r="B107" s="8">
        <v>46073</v>
      </c>
      <c r="C107" s="4" t="s">
        <v>147</v>
      </c>
      <c r="D107" s="4" t="s">
        <v>24</v>
      </c>
      <c r="E107" s="4" t="s">
        <v>74</v>
      </c>
      <c r="F107" s="3">
        <v>72</v>
      </c>
      <c r="G107" s="2" t="str">
        <f>_xlfn.XLOOKUP(tblOrder[[#This Row],[Produktkod]], tblProd[Produktkod], tblProd[Produktnamn])</f>
        <v>Hydraulpump HP-200</v>
      </c>
      <c r="H107" s="2">
        <f>_xlfn.XLOOKUP(tblOrder[[#This Row],[Produktkod]], tblProd[Produktkod], tblProd[Styckpris])</f>
        <v>8900</v>
      </c>
      <c r="I107" s="2">
        <f>_xlfn.XLOOKUP(tblOrder[[#This Row],[Produktkod]], tblProd[Produktkod], tblProd[Självkostnad/st])</f>
        <v>5600</v>
      </c>
      <c r="J107" s="2" t="str">
        <f>_xlfn.XLOOKUP(tblOrder[[#This Row],[Kundkod]], tblKund[Kundkod], tblKund[Kund], "Okänd kund")</f>
        <v>Nordic Parts AS</v>
      </c>
      <c r="K107" s="2">
        <f>tblOrder[[#This Row],[Antal]]*tblOrder[[#This Row],[Styckpris]]</f>
        <v>640800</v>
      </c>
      <c r="L107" s="14">
        <f>_xlfn.XLOOKUP(tblOrder[[#This Row],[Antal]], tblRabatt[Min antal], tblRabatt[Rabattsats], , -1)</f>
        <v>0.03</v>
      </c>
      <c r="M107" s="19">
        <f t="shared" si="1"/>
        <v>237600</v>
      </c>
    </row>
    <row r="108" spans="1:13" x14ac:dyDescent="0.25">
      <c r="A108" s="4" t="s">
        <v>198</v>
      </c>
      <c r="B108" s="8">
        <v>46073</v>
      </c>
      <c r="C108" s="4" t="s">
        <v>147</v>
      </c>
      <c r="D108" s="4" t="s">
        <v>40</v>
      </c>
      <c r="E108" s="4" t="s">
        <v>65</v>
      </c>
      <c r="F108" s="3">
        <v>24</v>
      </c>
      <c r="G108" s="2" t="str">
        <f>_xlfn.XLOOKUP(tblOrder[[#This Row],[Produktkod]], tblProd[Produktkod], tblProd[Produktnamn])</f>
        <v>Kabelhärva KH-7</v>
      </c>
      <c r="H108" s="2">
        <f>_xlfn.XLOOKUP(tblOrder[[#This Row],[Produktkod]], tblProd[Produktkod], tblProd[Styckpris])</f>
        <v>890</v>
      </c>
      <c r="I108" s="2">
        <f>_xlfn.XLOOKUP(tblOrder[[#This Row],[Produktkod]], tblProd[Produktkod], tblProd[Självkostnad/st])</f>
        <v>510</v>
      </c>
      <c r="J108" s="2" t="str">
        <f>_xlfn.XLOOKUP(tblOrder[[#This Row],[Kundkod]], tblKund[Kundkod], tblKund[Kund], "Okänd kund")</f>
        <v>Wärtsilä</v>
      </c>
      <c r="K108" s="2">
        <f>tblOrder[[#This Row],[Antal]]*tblOrder[[#This Row],[Styckpris]]</f>
        <v>21360</v>
      </c>
      <c r="L108" s="14">
        <f>_xlfn.XLOOKUP(tblOrder[[#This Row],[Antal]], tblRabatt[Min antal], tblRabatt[Rabattsats], , -1)</f>
        <v>0</v>
      </c>
      <c r="M108" s="19">
        <f t="shared" si="1"/>
        <v>9120</v>
      </c>
    </row>
    <row r="109" spans="1:13" x14ac:dyDescent="0.25">
      <c r="A109" s="4" t="s">
        <v>199</v>
      </c>
      <c r="B109" s="8">
        <v>46074</v>
      </c>
      <c r="C109" s="4" t="s">
        <v>147</v>
      </c>
      <c r="D109" s="4" t="s">
        <v>21</v>
      </c>
      <c r="E109" s="4" t="s">
        <v>57</v>
      </c>
      <c r="F109" s="3">
        <v>74</v>
      </c>
      <c r="G109" s="2" t="str">
        <f>_xlfn.XLOOKUP(tblOrder[[#This Row],[Produktkod]], tblProd[Produktkod], tblProd[Produktnamn])</f>
        <v>Hydraulcylinder HC-50</v>
      </c>
      <c r="H109" s="2">
        <f>_xlfn.XLOOKUP(tblOrder[[#This Row],[Produktkod]], tblProd[Produktkod], tblProd[Styckpris])</f>
        <v>4500</v>
      </c>
      <c r="I109" s="2">
        <f>_xlfn.XLOOKUP(tblOrder[[#This Row],[Produktkod]], tblProd[Produktkod], tblProd[Självkostnad/st])</f>
        <v>2800</v>
      </c>
      <c r="J109" s="2" t="str">
        <f>_xlfn.XLOOKUP(tblOrder[[#This Row],[Kundkod]], tblKund[Kundkod], tblKund[Kund], "Okänd kund")</f>
        <v>Scania CV</v>
      </c>
      <c r="K109" s="2">
        <f>tblOrder[[#This Row],[Antal]]*tblOrder[[#This Row],[Styckpris]]</f>
        <v>333000</v>
      </c>
      <c r="L109" s="14">
        <f>_xlfn.XLOOKUP(tblOrder[[#This Row],[Antal]], tblRabatt[Min antal], tblRabatt[Rabattsats], , -1)</f>
        <v>0.03</v>
      </c>
      <c r="M109" s="19">
        <f t="shared" si="1"/>
        <v>125800</v>
      </c>
    </row>
    <row r="110" spans="1:13" x14ac:dyDescent="0.25">
      <c r="A110" s="4" t="s">
        <v>200</v>
      </c>
      <c r="B110" s="8">
        <v>46075</v>
      </c>
      <c r="C110" s="4" t="s">
        <v>147</v>
      </c>
      <c r="D110" s="4" t="s">
        <v>28</v>
      </c>
      <c r="E110" s="4" t="s">
        <v>74</v>
      </c>
      <c r="F110" s="3">
        <v>32</v>
      </c>
      <c r="G110" s="2" t="str">
        <f>_xlfn.XLOOKUP(tblOrder[[#This Row],[Produktkod]], tblProd[Produktkod], tblProd[Produktnamn])</f>
        <v>Montagesats MS-10</v>
      </c>
      <c r="H110" s="2">
        <f>_xlfn.XLOOKUP(tblOrder[[#This Row],[Produktkod]], tblProd[Produktkod], tblProd[Styckpris])</f>
        <v>1250</v>
      </c>
      <c r="I110" s="2">
        <f>_xlfn.XLOOKUP(tblOrder[[#This Row],[Produktkod]], tblProd[Produktkod], tblProd[Självkostnad/st])</f>
        <v>720</v>
      </c>
      <c r="J110" s="2" t="str">
        <f>_xlfn.XLOOKUP(tblOrder[[#This Row],[Kundkod]], tblKund[Kundkod], tblKund[Kund], "Okänd kund")</f>
        <v>Nordic Parts AS</v>
      </c>
      <c r="K110" s="2">
        <f>tblOrder[[#This Row],[Antal]]*tblOrder[[#This Row],[Styckpris]]</f>
        <v>40000</v>
      </c>
      <c r="L110" s="14">
        <f>_xlfn.XLOOKUP(tblOrder[[#This Row],[Antal]], tblRabatt[Min antal], tblRabatt[Rabattsats], , -1)</f>
        <v>0</v>
      </c>
      <c r="M110" s="19">
        <f t="shared" si="1"/>
        <v>16960</v>
      </c>
    </row>
    <row r="111" spans="1:13" x14ac:dyDescent="0.25">
      <c r="A111" s="4" t="s">
        <v>201</v>
      </c>
      <c r="B111" s="8">
        <v>46076</v>
      </c>
      <c r="C111" s="4" t="s">
        <v>147</v>
      </c>
      <c r="D111" s="4" t="s">
        <v>35</v>
      </c>
      <c r="E111" s="4" t="s">
        <v>79</v>
      </c>
      <c r="F111" s="3">
        <v>697</v>
      </c>
      <c r="G111" s="2" t="str">
        <f>_xlfn.XLOOKUP(tblOrder[[#This Row],[Produktkod]], tblProd[Produktkod], tblProd[Produktnamn])</f>
        <v>Styrenhet CU-X1</v>
      </c>
      <c r="H111" s="2">
        <f>_xlfn.XLOOKUP(tblOrder[[#This Row],[Produktkod]], tblProd[Produktkod], tblProd[Styckpris])</f>
        <v>12500</v>
      </c>
      <c r="I111" s="2">
        <f>_xlfn.XLOOKUP(tblOrder[[#This Row],[Produktkod]], tblProd[Produktkod], tblProd[Självkostnad/st])</f>
        <v>8200</v>
      </c>
      <c r="J111" s="2" t="str">
        <f>_xlfn.XLOOKUP(tblOrder[[#This Row],[Kundkod]], tblKund[Kundkod], tblKund[Kund], "Okänd kund")</f>
        <v>Industrikomponenter</v>
      </c>
      <c r="K111" s="2">
        <f>tblOrder[[#This Row],[Antal]]*tblOrder[[#This Row],[Styckpris]]</f>
        <v>8712500</v>
      </c>
      <c r="L111" s="14">
        <f>_xlfn.XLOOKUP(tblOrder[[#This Row],[Antal]], tblRabatt[Min antal], tblRabatt[Rabattsats], , -1)</f>
        <v>0.12</v>
      </c>
      <c r="M111" s="19">
        <f t="shared" si="1"/>
        <v>2997100</v>
      </c>
    </row>
    <row r="112" spans="1:13" x14ac:dyDescent="0.25">
      <c r="A112" s="4" t="s">
        <v>202</v>
      </c>
      <c r="B112" s="8">
        <v>46076</v>
      </c>
      <c r="C112" s="4" t="s">
        <v>147</v>
      </c>
      <c r="D112" s="4" t="s">
        <v>38</v>
      </c>
      <c r="E112" s="4" t="s">
        <v>53</v>
      </c>
      <c r="F112" s="3">
        <v>82</v>
      </c>
      <c r="G112" s="2" t="str">
        <f>_xlfn.XLOOKUP(tblOrder[[#This Row],[Produktkod]], tblProd[Produktkod], tblProd[Produktnamn])</f>
        <v>Sensor S-45</v>
      </c>
      <c r="H112" s="2">
        <f>_xlfn.XLOOKUP(tblOrder[[#This Row],[Produktkod]], tblProd[Produktkod], tblProd[Styckpris])</f>
        <v>2100</v>
      </c>
      <c r="I112" s="2">
        <f>_xlfn.XLOOKUP(tblOrder[[#This Row],[Produktkod]], tblProd[Produktkod], tblProd[Självkostnad/st])</f>
        <v>1180</v>
      </c>
      <c r="J112" s="2" t="str">
        <f>_xlfn.XLOOKUP(tblOrder[[#This Row],[Kundkod]], tblKund[Kundkod], tblKund[Kund], "Okänd kund")</f>
        <v>Volvo Lastvagnar</v>
      </c>
      <c r="K112" s="2">
        <f>tblOrder[[#This Row],[Antal]]*tblOrder[[#This Row],[Styckpris]]</f>
        <v>172200</v>
      </c>
      <c r="L112" s="14">
        <f>_xlfn.XLOOKUP(tblOrder[[#This Row],[Antal]], tblRabatt[Min antal], tblRabatt[Rabattsats], , -1)</f>
        <v>0.03</v>
      </c>
      <c r="M112" s="19">
        <f t="shared" si="1"/>
        <v>75440</v>
      </c>
    </row>
    <row r="113" spans="1:13" x14ac:dyDescent="0.25">
      <c r="A113" s="4" t="s">
        <v>203</v>
      </c>
      <c r="B113" s="8">
        <v>46076</v>
      </c>
      <c r="C113" s="4" t="s">
        <v>147</v>
      </c>
      <c r="D113" s="4" t="s">
        <v>38</v>
      </c>
      <c r="E113" s="4" t="s">
        <v>76</v>
      </c>
      <c r="F113" s="3">
        <v>198</v>
      </c>
      <c r="G113" s="2" t="str">
        <f>_xlfn.XLOOKUP(tblOrder[[#This Row],[Produktkod]], tblProd[Produktkod], tblProd[Produktnamn])</f>
        <v>Sensor S-45</v>
      </c>
      <c r="H113" s="2">
        <f>_xlfn.XLOOKUP(tblOrder[[#This Row],[Produktkod]], tblProd[Produktkod], tblProd[Styckpris])</f>
        <v>2100</v>
      </c>
      <c r="I113" s="2">
        <f>_xlfn.XLOOKUP(tblOrder[[#This Row],[Produktkod]], tblProd[Produktkod], tblProd[Självkostnad/st])</f>
        <v>1180</v>
      </c>
      <c r="J113" s="2" t="str">
        <f>_xlfn.XLOOKUP(tblOrder[[#This Row],[Kundkod]], tblKund[Kundkod], tblKund[Kund], "Okänd kund")</f>
        <v>Maskin &amp; Verktyg</v>
      </c>
      <c r="K113" s="2">
        <f>tblOrder[[#This Row],[Antal]]*tblOrder[[#This Row],[Styckpris]]</f>
        <v>415800</v>
      </c>
      <c r="L113" s="14">
        <f>_xlfn.XLOOKUP(tblOrder[[#This Row],[Antal]], tblRabatt[Min antal], tblRabatt[Rabattsats], , -1)</f>
        <v>0.05</v>
      </c>
      <c r="M113" s="19">
        <f t="shared" si="1"/>
        <v>182160</v>
      </c>
    </row>
    <row r="114" spans="1:13" x14ac:dyDescent="0.25">
      <c r="A114" s="4" t="s">
        <v>204</v>
      </c>
      <c r="B114" s="8">
        <v>46076</v>
      </c>
      <c r="C114" s="4" t="s">
        <v>147</v>
      </c>
      <c r="D114" s="4" t="s">
        <v>45</v>
      </c>
      <c r="E114" s="4" t="s">
        <v>53</v>
      </c>
      <c r="F114" s="3">
        <v>57</v>
      </c>
      <c r="G114" s="2" t="str">
        <f>_xlfn.XLOOKUP(tblOrder[[#This Row],[Produktkod]], tblProd[Produktkod], tblProd[Produktnamn])</f>
        <v>Tätningskit TK-9</v>
      </c>
      <c r="H114" s="2">
        <f>_xlfn.XLOOKUP(tblOrder[[#This Row],[Produktkod]], tblProd[Produktkod], tblProd[Styckpris])</f>
        <v>210</v>
      </c>
      <c r="I114" s="2">
        <f>_xlfn.XLOOKUP(tblOrder[[#This Row],[Produktkod]], tblProd[Produktkod], tblProd[Självkostnad/st])</f>
        <v>95</v>
      </c>
      <c r="J114" s="2" t="str">
        <f>_xlfn.XLOOKUP(tblOrder[[#This Row],[Kundkod]], tblKund[Kundkod], tblKund[Kund], "Okänd kund")</f>
        <v>Volvo Lastvagnar</v>
      </c>
      <c r="K114" s="2">
        <f>tblOrder[[#This Row],[Antal]]*tblOrder[[#This Row],[Styckpris]]</f>
        <v>11970</v>
      </c>
      <c r="L114" s="14">
        <f>_xlfn.XLOOKUP(tblOrder[[#This Row],[Antal]], tblRabatt[Min antal], tblRabatt[Rabattsats], , -1)</f>
        <v>0.03</v>
      </c>
      <c r="M114" s="19">
        <f t="shared" si="1"/>
        <v>6555</v>
      </c>
    </row>
    <row r="115" spans="1:13" x14ac:dyDescent="0.25">
      <c r="A115" s="4" t="s">
        <v>205</v>
      </c>
      <c r="B115" s="8">
        <v>46077</v>
      </c>
      <c r="C115" s="4" t="s">
        <v>147</v>
      </c>
      <c r="D115" s="4" t="s">
        <v>45</v>
      </c>
      <c r="E115" s="4" t="s">
        <v>74</v>
      </c>
      <c r="F115" s="3">
        <v>432</v>
      </c>
      <c r="G115" s="2" t="str">
        <f>_xlfn.XLOOKUP(tblOrder[[#This Row],[Produktkod]], tblProd[Produktkod], tblProd[Produktnamn])</f>
        <v>Tätningskit TK-9</v>
      </c>
      <c r="H115" s="2">
        <f>_xlfn.XLOOKUP(tblOrder[[#This Row],[Produktkod]], tblProd[Produktkod], tblProd[Styckpris])</f>
        <v>210</v>
      </c>
      <c r="I115" s="2">
        <f>_xlfn.XLOOKUP(tblOrder[[#This Row],[Produktkod]], tblProd[Produktkod], tblProd[Självkostnad/st])</f>
        <v>95</v>
      </c>
      <c r="J115" s="2" t="str">
        <f>_xlfn.XLOOKUP(tblOrder[[#This Row],[Kundkod]], tblKund[Kundkod], tblKund[Kund], "Okänd kund")</f>
        <v>Nordic Parts AS</v>
      </c>
      <c r="K115" s="2">
        <f>tblOrder[[#This Row],[Antal]]*tblOrder[[#This Row],[Styckpris]]</f>
        <v>90720</v>
      </c>
      <c r="L115" s="14">
        <f>_xlfn.XLOOKUP(tblOrder[[#This Row],[Antal]], tblRabatt[Min antal], tblRabatt[Rabattsats], , -1)</f>
        <v>0.08</v>
      </c>
      <c r="M115" s="19">
        <f t="shared" si="1"/>
        <v>49680</v>
      </c>
    </row>
    <row r="116" spans="1:13" x14ac:dyDescent="0.25">
      <c r="A116" s="4" t="s">
        <v>206</v>
      </c>
      <c r="B116" s="8">
        <v>46077</v>
      </c>
      <c r="C116" s="4" t="s">
        <v>147</v>
      </c>
      <c r="D116" s="4" t="s">
        <v>28</v>
      </c>
      <c r="E116" s="4" t="s">
        <v>65</v>
      </c>
      <c r="F116" s="3">
        <v>121</v>
      </c>
      <c r="G116" s="2" t="str">
        <f>_xlfn.XLOOKUP(tblOrder[[#This Row],[Produktkod]], tblProd[Produktkod], tblProd[Produktnamn])</f>
        <v>Montagesats MS-10</v>
      </c>
      <c r="H116" s="2">
        <f>_xlfn.XLOOKUP(tblOrder[[#This Row],[Produktkod]], tblProd[Produktkod], tblProd[Styckpris])</f>
        <v>1250</v>
      </c>
      <c r="I116" s="2">
        <f>_xlfn.XLOOKUP(tblOrder[[#This Row],[Produktkod]], tblProd[Produktkod], tblProd[Självkostnad/st])</f>
        <v>720</v>
      </c>
      <c r="J116" s="2" t="str">
        <f>_xlfn.XLOOKUP(tblOrder[[#This Row],[Kundkod]], tblKund[Kundkod], tblKund[Kund], "Okänd kund")</f>
        <v>Wärtsilä</v>
      </c>
      <c r="K116" s="2">
        <f>tblOrder[[#This Row],[Antal]]*tblOrder[[#This Row],[Styckpris]]</f>
        <v>151250</v>
      </c>
      <c r="L116" s="14">
        <f>_xlfn.XLOOKUP(tblOrder[[#This Row],[Antal]], tblRabatt[Min antal], tblRabatt[Rabattsats], , -1)</f>
        <v>0.05</v>
      </c>
      <c r="M116" s="19">
        <f t="shared" si="1"/>
        <v>64130</v>
      </c>
    </row>
    <row r="117" spans="1:13" x14ac:dyDescent="0.25">
      <c r="A117" s="4" t="s">
        <v>207</v>
      </c>
      <c r="B117" s="8">
        <v>46078</v>
      </c>
      <c r="C117" s="4" t="s">
        <v>147</v>
      </c>
      <c r="D117" s="4" t="s">
        <v>40</v>
      </c>
      <c r="E117" s="4" t="s">
        <v>59</v>
      </c>
      <c r="F117" s="3">
        <v>622</v>
      </c>
      <c r="G117" s="2" t="str">
        <f>_xlfn.XLOOKUP(tblOrder[[#This Row],[Produktkod]], tblProd[Produktkod], tblProd[Produktnamn])</f>
        <v>Kabelhärva KH-7</v>
      </c>
      <c r="H117" s="2">
        <f>_xlfn.XLOOKUP(tblOrder[[#This Row],[Produktkod]], tblProd[Produktkod], tblProd[Styckpris])</f>
        <v>890</v>
      </c>
      <c r="I117" s="2">
        <f>_xlfn.XLOOKUP(tblOrder[[#This Row],[Produktkod]], tblProd[Produktkod], tblProd[Självkostnad/st])</f>
        <v>510</v>
      </c>
      <c r="J117" s="2" t="str">
        <f>_xlfn.XLOOKUP(tblOrder[[#This Row],[Kundkod]], tblKund[Kundkod], tblKund[Kund], "Okänd kund")</f>
        <v>Kongsberg Automotive</v>
      </c>
      <c r="K117" s="2">
        <f>tblOrder[[#This Row],[Antal]]*tblOrder[[#This Row],[Styckpris]]</f>
        <v>553580</v>
      </c>
      <c r="L117" s="14">
        <f>_xlfn.XLOOKUP(tblOrder[[#This Row],[Antal]], tblRabatt[Min antal], tblRabatt[Rabattsats], , -1)</f>
        <v>0.12</v>
      </c>
      <c r="M117" s="19">
        <f t="shared" si="1"/>
        <v>236360</v>
      </c>
    </row>
    <row r="118" spans="1:13" x14ac:dyDescent="0.25">
      <c r="A118" s="4" t="s">
        <v>208</v>
      </c>
      <c r="B118" s="8">
        <v>46079</v>
      </c>
      <c r="C118" s="4" t="s">
        <v>147</v>
      </c>
      <c r="D118" s="4" t="s">
        <v>38</v>
      </c>
      <c r="E118" s="4" t="s">
        <v>71</v>
      </c>
      <c r="F118" s="3">
        <v>77</v>
      </c>
      <c r="G118" s="2" t="str">
        <f>_xlfn.XLOOKUP(tblOrder[[#This Row],[Produktkod]], tblProd[Produktkod], tblProd[Produktnamn])</f>
        <v>Sensor S-45</v>
      </c>
      <c r="H118" s="2">
        <f>_xlfn.XLOOKUP(tblOrder[[#This Row],[Produktkod]], tblProd[Produktkod], tblProd[Styckpris])</f>
        <v>2100</v>
      </c>
      <c r="I118" s="2">
        <f>_xlfn.XLOOKUP(tblOrder[[#This Row],[Produktkod]], tblProd[Produktkod], tblProd[Självkostnad/st])</f>
        <v>1180</v>
      </c>
      <c r="J118" s="2" t="str">
        <f>_xlfn.XLOOKUP(tblOrder[[#This Row],[Kundkod]], tblKund[Kundkod], tblKund[Kund], "Okänd kund")</f>
        <v>Hydraul-Service AB</v>
      </c>
      <c r="K118" s="2">
        <f>tblOrder[[#This Row],[Antal]]*tblOrder[[#This Row],[Styckpris]]</f>
        <v>161700</v>
      </c>
      <c r="L118" s="14">
        <f>_xlfn.XLOOKUP(tblOrder[[#This Row],[Antal]], tblRabatt[Min antal], tblRabatt[Rabattsats], , -1)</f>
        <v>0.03</v>
      </c>
      <c r="M118" s="19">
        <f t="shared" si="1"/>
        <v>70840</v>
      </c>
    </row>
    <row r="119" spans="1:13" x14ac:dyDescent="0.25">
      <c r="A119" s="4" t="s">
        <v>209</v>
      </c>
      <c r="B119" s="8">
        <v>46079</v>
      </c>
      <c r="C119" s="4" t="s">
        <v>147</v>
      </c>
      <c r="D119" s="4" t="s">
        <v>33</v>
      </c>
      <c r="E119" s="4" t="s">
        <v>53</v>
      </c>
      <c r="F119" s="3">
        <v>204</v>
      </c>
      <c r="G119" s="2" t="str">
        <f>_xlfn.XLOOKUP(tblOrder[[#This Row],[Produktkod]], tblProd[Produktkod], tblProd[Produktnamn])</f>
        <v>Skruvkit SK-100</v>
      </c>
      <c r="H119" s="2">
        <f>_xlfn.XLOOKUP(tblOrder[[#This Row],[Produktkod]], tblProd[Produktkod], tblProd[Styckpris])</f>
        <v>320</v>
      </c>
      <c r="I119" s="2">
        <f>_xlfn.XLOOKUP(tblOrder[[#This Row],[Produktkod]], tblProd[Produktkod], tblProd[Självkostnad/st])</f>
        <v>165</v>
      </c>
      <c r="J119" s="2" t="str">
        <f>_xlfn.XLOOKUP(tblOrder[[#This Row],[Kundkod]], tblKund[Kundkod], tblKund[Kund], "Okänd kund")</f>
        <v>Volvo Lastvagnar</v>
      </c>
      <c r="K119" s="2">
        <f>tblOrder[[#This Row],[Antal]]*tblOrder[[#This Row],[Styckpris]]</f>
        <v>65280</v>
      </c>
      <c r="L119" s="14">
        <f>_xlfn.XLOOKUP(tblOrder[[#This Row],[Antal]], tblRabatt[Min antal], tblRabatt[Rabattsats], , -1)</f>
        <v>0.05</v>
      </c>
      <c r="M119" s="19">
        <f t="shared" si="1"/>
        <v>31620</v>
      </c>
    </row>
    <row r="120" spans="1:13" x14ac:dyDescent="0.25">
      <c r="A120" s="4" t="s">
        <v>210</v>
      </c>
      <c r="B120" s="8">
        <v>46079</v>
      </c>
      <c r="C120" s="4" t="s">
        <v>147</v>
      </c>
      <c r="D120" s="4" t="s">
        <v>21</v>
      </c>
      <c r="E120" s="4" t="s">
        <v>71</v>
      </c>
      <c r="F120" s="3">
        <v>51</v>
      </c>
      <c r="G120" s="2" t="str">
        <f>_xlfn.XLOOKUP(tblOrder[[#This Row],[Produktkod]], tblProd[Produktkod], tblProd[Produktnamn])</f>
        <v>Hydraulcylinder HC-50</v>
      </c>
      <c r="H120" s="2">
        <f>_xlfn.XLOOKUP(tblOrder[[#This Row],[Produktkod]], tblProd[Produktkod], tblProd[Styckpris])</f>
        <v>4500</v>
      </c>
      <c r="I120" s="2">
        <f>_xlfn.XLOOKUP(tblOrder[[#This Row],[Produktkod]], tblProd[Produktkod], tblProd[Självkostnad/st])</f>
        <v>2800</v>
      </c>
      <c r="J120" s="2" t="str">
        <f>_xlfn.XLOOKUP(tblOrder[[#This Row],[Kundkod]], tblKund[Kundkod], tblKund[Kund], "Okänd kund")</f>
        <v>Hydraul-Service AB</v>
      </c>
      <c r="K120" s="2">
        <f>tblOrder[[#This Row],[Antal]]*tblOrder[[#This Row],[Styckpris]]</f>
        <v>229500</v>
      </c>
      <c r="L120" s="14">
        <f>_xlfn.XLOOKUP(tblOrder[[#This Row],[Antal]], tblRabatt[Min antal], tblRabatt[Rabattsats], , -1)</f>
        <v>0.03</v>
      </c>
      <c r="M120" s="19">
        <f t="shared" si="1"/>
        <v>86700</v>
      </c>
    </row>
    <row r="121" spans="1:13" x14ac:dyDescent="0.25">
      <c r="A121" s="4" t="s">
        <v>211</v>
      </c>
      <c r="B121" s="8">
        <v>46079</v>
      </c>
      <c r="C121" s="4" t="s">
        <v>147</v>
      </c>
      <c r="D121" s="4" t="s">
        <v>26</v>
      </c>
      <c r="E121" s="4" t="s">
        <v>65</v>
      </c>
      <c r="F121" s="3">
        <v>98</v>
      </c>
      <c r="G121" s="2" t="str">
        <f>_xlfn.XLOOKUP(tblOrder[[#This Row],[Produktkod]], tblProd[Produktkod], tblProd[Produktnamn])</f>
        <v>Ventilblock VB-30</v>
      </c>
      <c r="H121" s="2">
        <f>_xlfn.XLOOKUP(tblOrder[[#This Row],[Produktkod]], tblProd[Produktkod], tblProd[Styckpris])</f>
        <v>3200</v>
      </c>
      <c r="I121" s="2">
        <f>_xlfn.XLOOKUP(tblOrder[[#This Row],[Produktkod]], tblProd[Produktkod], tblProd[Självkostnad/st])</f>
        <v>1950</v>
      </c>
      <c r="J121" s="2" t="str">
        <f>_xlfn.XLOOKUP(tblOrder[[#This Row],[Kundkod]], tblKund[Kundkod], tblKund[Kund], "Okänd kund")</f>
        <v>Wärtsilä</v>
      </c>
      <c r="K121" s="2">
        <f>tblOrder[[#This Row],[Antal]]*tblOrder[[#This Row],[Styckpris]]</f>
        <v>313600</v>
      </c>
      <c r="L121" s="14">
        <f>_xlfn.XLOOKUP(tblOrder[[#This Row],[Antal]], tblRabatt[Min antal], tblRabatt[Rabattsats], , -1)</f>
        <v>0.03</v>
      </c>
      <c r="M121" s="19">
        <f t="shared" si="1"/>
        <v>122500</v>
      </c>
    </row>
    <row r="122" spans="1:13" x14ac:dyDescent="0.25">
      <c r="A122" s="4" t="s">
        <v>212</v>
      </c>
      <c r="B122" s="8">
        <v>46080</v>
      </c>
      <c r="C122" s="4" t="s">
        <v>147</v>
      </c>
      <c r="D122" s="4" t="s">
        <v>33</v>
      </c>
      <c r="E122" s="4" t="s">
        <v>71</v>
      </c>
      <c r="F122" s="3">
        <v>40</v>
      </c>
      <c r="G122" s="2" t="str">
        <f>_xlfn.XLOOKUP(tblOrder[[#This Row],[Produktkod]], tblProd[Produktkod], tblProd[Produktnamn])</f>
        <v>Skruvkit SK-100</v>
      </c>
      <c r="H122" s="2">
        <f>_xlfn.XLOOKUP(tblOrder[[#This Row],[Produktkod]], tblProd[Produktkod], tblProd[Styckpris])</f>
        <v>320</v>
      </c>
      <c r="I122" s="2">
        <f>_xlfn.XLOOKUP(tblOrder[[#This Row],[Produktkod]], tblProd[Produktkod], tblProd[Självkostnad/st])</f>
        <v>165</v>
      </c>
      <c r="J122" s="2" t="str">
        <f>_xlfn.XLOOKUP(tblOrder[[#This Row],[Kundkod]], tblKund[Kundkod], tblKund[Kund], "Okänd kund")</f>
        <v>Hydraul-Service AB</v>
      </c>
      <c r="K122" s="2">
        <f>tblOrder[[#This Row],[Antal]]*tblOrder[[#This Row],[Styckpris]]</f>
        <v>12800</v>
      </c>
      <c r="L122" s="14">
        <f>_xlfn.XLOOKUP(tblOrder[[#This Row],[Antal]], tblRabatt[Min antal], tblRabatt[Rabattsats], , -1)</f>
        <v>0</v>
      </c>
      <c r="M122" s="19">
        <f t="shared" si="1"/>
        <v>6200</v>
      </c>
    </row>
    <row r="123" spans="1:13" x14ac:dyDescent="0.25">
      <c r="A123" s="4" t="s">
        <v>213</v>
      </c>
      <c r="B123" s="8">
        <v>46080</v>
      </c>
      <c r="C123" s="4" t="s">
        <v>147</v>
      </c>
      <c r="D123" s="4" t="s">
        <v>33</v>
      </c>
      <c r="E123" s="4" t="s">
        <v>62</v>
      </c>
      <c r="F123" s="3">
        <v>296</v>
      </c>
      <c r="G123" s="2" t="str">
        <f>_xlfn.XLOOKUP(tblOrder[[#This Row],[Produktkod]], tblProd[Produktkod], tblProd[Produktnamn])</f>
        <v>Skruvkit SK-100</v>
      </c>
      <c r="H123" s="2">
        <f>_xlfn.XLOOKUP(tblOrder[[#This Row],[Produktkod]], tblProd[Produktkod], tblProd[Styckpris])</f>
        <v>320</v>
      </c>
      <c r="I123" s="2">
        <f>_xlfn.XLOOKUP(tblOrder[[#This Row],[Produktkod]], tblProd[Produktkod], tblProd[Självkostnad/st])</f>
        <v>165</v>
      </c>
      <c r="J123" s="2" t="str">
        <f>_xlfn.XLOOKUP(tblOrder[[#This Row],[Kundkod]], tblKund[Kundkod], tblKund[Kund], "Okänd kund")</f>
        <v>Danfoss A/S</v>
      </c>
      <c r="K123" s="2">
        <f>tblOrder[[#This Row],[Antal]]*tblOrder[[#This Row],[Styckpris]]</f>
        <v>94720</v>
      </c>
      <c r="L123" s="14">
        <f>_xlfn.XLOOKUP(tblOrder[[#This Row],[Antal]], tblRabatt[Min antal], tblRabatt[Rabattsats], , -1)</f>
        <v>0.08</v>
      </c>
      <c r="M123" s="19">
        <f t="shared" si="1"/>
        <v>45880</v>
      </c>
    </row>
    <row r="124" spans="1:13" x14ac:dyDescent="0.25">
      <c r="A124" s="4" t="s">
        <v>214</v>
      </c>
      <c r="B124" s="8">
        <v>46080</v>
      </c>
      <c r="C124" s="4" t="s">
        <v>147</v>
      </c>
      <c r="D124" s="4" t="s">
        <v>26</v>
      </c>
      <c r="E124" s="4" t="s">
        <v>57</v>
      </c>
      <c r="F124" s="3">
        <v>67</v>
      </c>
      <c r="G124" s="2" t="str">
        <f>_xlfn.XLOOKUP(tblOrder[[#This Row],[Produktkod]], tblProd[Produktkod], tblProd[Produktnamn])</f>
        <v>Ventilblock VB-30</v>
      </c>
      <c r="H124" s="2">
        <f>_xlfn.XLOOKUP(tblOrder[[#This Row],[Produktkod]], tblProd[Produktkod], tblProd[Styckpris])</f>
        <v>3200</v>
      </c>
      <c r="I124" s="2">
        <f>_xlfn.XLOOKUP(tblOrder[[#This Row],[Produktkod]], tblProd[Produktkod], tblProd[Självkostnad/st])</f>
        <v>1950</v>
      </c>
      <c r="J124" s="2" t="str">
        <f>_xlfn.XLOOKUP(tblOrder[[#This Row],[Kundkod]], tblKund[Kundkod], tblKund[Kund], "Okänd kund")</f>
        <v>Scania CV</v>
      </c>
      <c r="K124" s="2">
        <f>tblOrder[[#This Row],[Antal]]*tblOrder[[#This Row],[Styckpris]]</f>
        <v>214400</v>
      </c>
      <c r="L124" s="14">
        <f>_xlfn.XLOOKUP(tblOrder[[#This Row],[Antal]], tblRabatt[Min antal], tblRabatt[Rabattsats], , -1)</f>
        <v>0.03</v>
      </c>
      <c r="M124" s="19">
        <f t="shared" si="1"/>
        <v>83750</v>
      </c>
    </row>
    <row r="125" spans="1:13" x14ac:dyDescent="0.25">
      <c r="A125" s="4" t="s">
        <v>215</v>
      </c>
      <c r="B125" s="8">
        <v>46080</v>
      </c>
      <c r="C125" s="4" t="s">
        <v>147</v>
      </c>
      <c r="D125" s="4" t="s">
        <v>40</v>
      </c>
      <c r="E125" s="4" t="s">
        <v>76</v>
      </c>
      <c r="F125" s="3">
        <v>718</v>
      </c>
      <c r="G125" s="2" t="str">
        <f>_xlfn.XLOOKUP(tblOrder[[#This Row],[Produktkod]], tblProd[Produktkod], tblProd[Produktnamn])</f>
        <v>Kabelhärva KH-7</v>
      </c>
      <c r="H125" s="2">
        <f>_xlfn.XLOOKUP(tblOrder[[#This Row],[Produktkod]], tblProd[Produktkod], tblProd[Styckpris])</f>
        <v>890</v>
      </c>
      <c r="I125" s="2">
        <f>_xlfn.XLOOKUP(tblOrder[[#This Row],[Produktkod]], tblProd[Produktkod], tblProd[Självkostnad/st])</f>
        <v>510</v>
      </c>
      <c r="J125" s="2" t="str">
        <f>_xlfn.XLOOKUP(tblOrder[[#This Row],[Kundkod]], tblKund[Kundkod], tblKund[Kund], "Okänd kund")</f>
        <v>Maskin &amp; Verktyg</v>
      </c>
      <c r="K125" s="2">
        <f>tblOrder[[#This Row],[Antal]]*tblOrder[[#This Row],[Styckpris]]</f>
        <v>639020</v>
      </c>
      <c r="L125" s="14">
        <f>_xlfn.XLOOKUP(tblOrder[[#This Row],[Antal]], tblRabatt[Min antal], tblRabatt[Rabattsats], , -1)</f>
        <v>0.12</v>
      </c>
      <c r="M125" s="19">
        <f t="shared" si="1"/>
        <v>272840</v>
      </c>
    </row>
    <row r="126" spans="1:13" x14ac:dyDescent="0.25">
      <c r="A126" s="4" t="s">
        <v>216</v>
      </c>
      <c r="B126" s="8">
        <v>46080</v>
      </c>
      <c r="C126" s="4" t="s">
        <v>147</v>
      </c>
      <c r="D126" s="4" t="s">
        <v>26</v>
      </c>
      <c r="E126" s="4" t="s">
        <v>76</v>
      </c>
      <c r="F126" s="3">
        <v>405</v>
      </c>
      <c r="G126" s="2" t="str">
        <f>_xlfn.XLOOKUP(tblOrder[[#This Row],[Produktkod]], tblProd[Produktkod], tblProd[Produktnamn])</f>
        <v>Ventilblock VB-30</v>
      </c>
      <c r="H126" s="2">
        <f>_xlfn.XLOOKUP(tblOrder[[#This Row],[Produktkod]], tblProd[Produktkod], tblProd[Styckpris])</f>
        <v>3200</v>
      </c>
      <c r="I126" s="2">
        <f>_xlfn.XLOOKUP(tblOrder[[#This Row],[Produktkod]], tblProd[Produktkod], tblProd[Självkostnad/st])</f>
        <v>1950</v>
      </c>
      <c r="J126" s="2" t="str">
        <f>_xlfn.XLOOKUP(tblOrder[[#This Row],[Kundkod]], tblKund[Kundkod], tblKund[Kund], "Okänd kund")</f>
        <v>Maskin &amp; Verktyg</v>
      </c>
      <c r="K126" s="2">
        <f>tblOrder[[#This Row],[Antal]]*tblOrder[[#This Row],[Styckpris]]</f>
        <v>1296000</v>
      </c>
      <c r="L126" s="14">
        <f>_xlfn.XLOOKUP(tblOrder[[#This Row],[Antal]], tblRabatt[Min antal], tblRabatt[Rabattsats], , -1)</f>
        <v>0.08</v>
      </c>
      <c r="M126" s="19">
        <f t="shared" si="1"/>
        <v>506250</v>
      </c>
    </row>
    <row r="127" spans="1:13" x14ac:dyDescent="0.25">
      <c r="A127" s="4" t="s">
        <v>217</v>
      </c>
      <c r="B127" s="8">
        <v>46081</v>
      </c>
      <c r="C127" s="4" t="s">
        <v>147</v>
      </c>
      <c r="D127" s="4" t="s">
        <v>38</v>
      </c>
      <c r="E127" s="4" t="s">
        <v>79</v>
      </c>
      <c r="F127" s="3">
        <v>25</v>
      </c>
      <c r="G127" s="2" t="str">
        <f>_xlfn.XLOOKUP(tblOrder[[#This Row],[Produktkod]], tblProd[Produktkod], tblProd[Produktnamn])</f>
        <v>Sensor S-45</v>
      </c>
      <c r="H127" s="2">
        <f>_xlfn.XLOOKUP(tblOrder[[#This Row],[Produktkod]], tblProd[Produktkod], tblProd[Styckpris])</f>
        <v>2100</v>
      </c>
      <c r="I127" s="2">
        <f>_xlfn.XLOOKUP(tblOrder[[#This Row],[Produktkod]], tblProd[Produktkod], tblProd[Självkostnad/st])</f>
        <v>1180</v>
      </c>
      <c r="J127" s="2" t="str">
        <f>_xlfn.XLOOKUP(tblOrder[[#This Row],[Kundkod]], tblKund[Kundkod], tblKund[Kund], "Okänd kund")</f>
        <v>Industrikomponenter</v>
      </c>
      <c r="K127" s="2">
        <f>tblOrder[[#This Row],[Antal]]*tblOrder[[#This Row],[Styckpris]]</f>
        <v>52500</v>
      </c>
      <c r="L127" s="14">
        <f>_xlfn.XLOOKUP(tblOrder[[#This Row],[Antal]], tblRabatt[Min antal], tblRabatt[Rabattsats], , -1)</f>
        <v>0</v>
      </c>
      <c r="M127" s="19">
        <f t="shared" si="1"/>
        <v>23000</v>
      </c>
    </row>
    <row r="128" spans="1:13" x14ac:dyDescent="0.25">
      <c r="A128" s="4" t="s">
        <v>218</v>
      </c>
      <c r="B128" s="8">
        <v>46081</v>
      </c>
      <c r="C128" s="4" t="s">
        <v>147</v>
      </c>
      <c r="D128" s="4" t="s">
        <v>42</v>
      </c>
      <c r="E128" s="4" t="s">
        <v>59</v>
      </c>
      <c r="F128" s="3">
        <v>520</v>
      </c>
      <c r="G128" s="2" t="str">
        <f>_xlfn.XLOOKUP(tblOrder[[#This Row],[Produktkod]], tblProd[Produktkod], tblProd[Produktnamn])</f>
        <v>Lagersats LS-22</v>
      </c>
      <c r="H128" s="2">
        <f>_xlfn.XLOOKUP(tblOrder[[#This Row],[Produktkod]], tblProd[Produktkod], tblProd[Styckpris])</f>
        <v>650</v>
      </c>
      <c r="I128" s="2">
        <f>_xlfn.XLOOKUP(tblOrder[[#This Row],[Produktkod]], tblProd[Produktkod], tblProd[Självkostnad/st])</f>
        <v>380</v>
      </c>
      <c r="J128" s="2" t="str">
        <f>_xlfn.XLOOKUP(tblOrder[[#This Row],[Kundkod]], tblKund[Kundkod], tblKund[Kund], "Okänd kund")</f>
        <v>Kongsberg Automotive</v>
      </c>
      <c r="K128" s="2">
        <f>tblOrder[[#This Row],[Antal]]*tblOrder[[#This Row],[Styckpris]]</f>
        <v>338000</v>
      </c>
      <c r="L128" s="14">
        <f>_xlfn.XLOOKUP(tblOrder[[#This Row],[Antal]], tblRabatt[Min antal], tblRabatt[Rabattsats], , -1)</f>
        <v>0.12</v>
      </c>
      <c r="M128" s="19">
        <f t="shared" si="1"/>
        <v>140400</v>
      </c>
    </row>
    <row r="129" spans="1:13" x14ac:dyDescent="0.25">
      <c r="A129" s="4" t="s">
        <v>219</v>
      </c>
      <c r="B129" s="8">
        <v>46082</v>
      </c>
      <c r="C129" s="4" t="s">
        <v>220</v>
      </c>
      <c r="D129" s="4" t="s">
        <v>28</v>
      </c>
      <c r="E129" s="4" t="s">
        <v>132</v>
      </c>
      <c r="F129" s="3">
        <v>93</v>
      </c>
      <c r="G129" s="2" t="str">
        <f>_xlfn.XLOOKUP(tblOrder[[#This Row],[Produktkod]], tblProd[Produktkod], tblProd[Produktnamn])</f>
        <v>Montagesats MS-10</v>
      </c>
      <c r="H129" s="2">
        <f>_xlfn.XLOOKUP(tblOrder[[#This Row],[Produktkod]], tblProd[Produktkod], tblProd[Styckpris])</f>
        <v>1250</v>
      </c>
      <c r="I129" s="2">
        <f>_xlfn.XLOOKUP(tblOrder[[#This Row],[Produktkod]], tblProd[Produktkod], tblProd[Självkostnad/st])</f>
        <v>720</v>
      </c>
      <c r="J129" s="2" t="str">
        <f>_xlfn.XLOOKUP(tblOrder[[#This Row],[Kundkod]], tblKund[Kundkod], tblKund[Kund], "Okänd kund")</f>
        <v>Okänd kund</v>
      </c>
      <c r="K129" s="2">
        <f>tblOrder[[#This Row],[Antal]]*tblOrder[[#This Row],[Styckpris]]</f>
        <v>116250</v>
      </c>
      <c r="L129" s="14">
        <f>_xlfn.XLOOKUP(tblOrder[[#This Row],[Antal]], tblRabatt[Min antal], tblRabatt[Rabattsats], , -1)</f>
        <v>0.03</v>
      </c>
      <c r="M129" s="19">
        <f t="shared" si="1"/>
        <v>49290</v>
      </c>
    </row>
    <row r="130" spans="1:13" x14ac:dyDescent="0.25">
      <c r="A130" s="4" t="s">
        <v>221</v>
      </c>
      <c r="B130" s="8">
        <v>46083</v>
      </c>
      <c r="C130" s="4" t="s">
        <v>220</v>
      </c>
      <c r="D130" s="4" t="s">
        <v>33</v>
      </c>
      <c r="E130" s="4" t="s">
        <v>59</v>
      </c>
      <c r="F130" s="3">
        <v>678</v>
      </c>
      <c r="G130" s="2" t="str">
        <f>_xlfn.XLOOKUP(tblOrder[[#This Row],[Produktkod]], tblProd[Produktkod], tblProd[Produktnamn])</f>
        <v>Skruvkit SK-100</v>
      </c>
      <c r="H130" s="2">
        <f>_xlfn.XLOOKUP(tblOrder[[#This Row],[Produktkod]], tblProd[Produktkod], tblProd[Styckpris])</f>
        <v>320</v>
      </c>
      <c r="I130" s="2">
        <f>_xlfn.XLOOKUP(tblOrder[[#This Row],[Produktkod]], tblProd[Produktkod], tblProd[Självkostnad/st])</f>
        <v>165</v>
      </c>
      <c r="J130" s="2" t="str">
        <f>_xlfn.XLOOKUP(tblOrder[[#This Row],[Kundkod]], tblKund[Kundkod], tblKund[Kund], "Okänd kund")</f>
        <v>Kongsberg Automotive</v>
      </c>
      <c r="K130" s="2">
        <f>tblOrder[[#This Row],[Antal]]*tblOrder[[#This Row],[Styckpris]]</f>
        <v>216960</v>
      </c>
      <c r="L130" s="14">
        <f>_xlfn.XLOOKUP(tblOrder[[#This Row],[Antal]], tblRabatt[Min antal], tblRabatt[Rabattsats], , -1)</f>
        <v>0.12</v>
      </c>
      <c r="M130" s="19">
        <f t="shared" ref="M130:M193" si="2">K130-F130*I130</f>
        <v>105090</v>
      </c>
    </row>
    <row r="131" spans="1:13" x14ac:dyDescent="0.25">
      <c r="A131" s="4" t="s">
        <v>222</v>
      </c>
      <c r="B131" s="8">
        <v>46083</v>
      </c>
      <c r="C131" s="4" t="s">
        <v>220</v>
      </c>
      <c r="D131" s="4" t="s">
        <v>35</v>
      </c>
      <c r="E131" s="4" t="s">
        <v>223</v>
      </c>
      <c r="F131" s="3">
        <v>151</v>
      </c>
      <c r="G131" s="2" t="str">
        <f>_xlfn.XLOOKUP(tblOrder[[#This Row],[Produktkod]], tblProd[Produktkod], tblProd[Produktnamn])</f>
        <v>Styrenhet CU-X1</v>
      </c>
      <c r="H131" s="2">
        <f>_xlfn.XLOOKUP(tblOrder[[#This Row],[Produktkod]], tblProd[Produktkod], tblProd[Styckpris])</f>
        <v>12500</v>
      </c>
      <c r="I131" s="2">
        <f>_xlfn.XLOOKUP(tblOrder[[#This Row],[Produktkod]], tblProd[Produktkod], tblProd[Självkostnad/st])</f>
        <v>8200</v>
      </c>
      <c r="J131" s="2" t="str">
        <f>_xlfn.XLOOKUP(tblOrder[[#This Row],[Kundkod]], tblKund[Kundkod], tblKund[Kund], "Okänd kund")</f>
        <v>Okänd kund</v>
      </c>
      <c r="K131" s="2">
        <f>tblOrder[[#This Row],[Antal]]*tblOrder[[#This Row],[Styckpris]]</f>
        <v>1887500</v>
      </c>
      <c r="L131" s="14">
        <f>_xlfn.XLOOKUP(tblOrder[[#This Row],[Antal]], tblRabatt[Min antal], tblRabatt[Rabattsats], , -1)</f>
        <v>0.05</v>
      </c>
      <c r="M131" s="19">
        <f t="shared" si="2"/>
        <v>649300</v>
      </c>
    </row>
    <row r="132" spans="1:13" x14ac:dyDescent="0.25">
      <c r="A132" s="4" t="s">
        <v>224</v>
      </c>
      <c r="B132" s="8">
        <v>46084</v>
      </c>
      <c r="C132" s="4" t="s">
        <v>220</v>
      </c>
      <c r="D132" s="4" t="s">
        <v>45</v>
      </c>
      <c r="E132" s="4" t="s">
        <v>71</v>
      </c>
      <c r="F132" s="3">
        <v>56</v>
      </c>
      <c r="G132" s="2" t="str">
        <f>_xlfn.XLOOKUP(tblOrder[[#This Row],[Produktkod]], tblProd[Produktkod], tblProd[Produktnamn])</f>
        <v>Tätningskit TK-9</v>
      </c>
      <c r="H132" s="2">
        <f>_xlfn.XLOOKUP(tblOrder[[#This Row],[Produktkod]], tblProd[Produktkod], tblProd[Styckpris])</f>
        <v>210</v>
      </c>
      <c r="I132" s="2">
        <f>_xlfn.XLOOKUP(tblOrder[[#This Row],[Produktkod]], tblProd[Produktkod], tblProd[Självkostnad/st])</f>
        <v>95</v>
      </c>
      <c r="J132" s="2" t="str">
        <f>_xlfn.XLOOKUP(tblOrder[[#This Row],[Kundkod]], tblKund[Kundkod], tblKund[Kund], "Okänd kund")</f>
        <v>Hydraul-Service AB</v>
      </c>
      <c r="K132" s="2">
        <f>tblOrder[[#This Row],[Antal]]*tblOrder[[#This Row],[Styckpris]]</f>
        <v>11760</v>
      </c>
      <c r="L132" s="14">
        <f>_xlfn.XLOOKUP(tblOrder[[#This Row],[Antal]], tblRabatt[Min antal], tblRabatt[Rabattsats], , -1)</f>
        <v>0.03</v>
      </c>
      <c r="M132" s="19">
        <f t="shared" si="2"/>
        <v>6440</v>
      </c>
    </row>
    <row r="133" spans="1:13" x14ac:dyDescent="0.25">
      <c r="A133" s="4" t="s">
        <v>225</v>
      </c>
      <c r="B133" s="8">
        <v>46085</v>
      </c>
      <c r="C133" s="4" t="s">
        <v>220</v>
      </c>
      <c r="D133" s="4" t="s">
        <v>31</v>
      </c>
      <c r="E133" s="4" t="s">
        <v>59</v>
      </c>
      <c r="F133" s="3">
        <v>654</v>
      </c>
      <c r="G133" s="2" t="str">
        <f>_xlfn.XLOOKUP(tblOrder[[#This Row],[Produktkod]], tblProd[Produktkod], tblProd[Produktnamn])</f>
        <v>Fästplatta FP-A4</v>
      </c>
      <c r="H133" s="2">
        <f>_xlfn.XLOOKUP(tblOrder[[#This Row],[Produktkod]], tblProd[Produktkod], tblProd[Styckpris])</f>
        <v>480</v>
      </c>
      <c r="I133" s="2">
        <f>_xlfn.XLOOKUP(tblOrder[[#This Row],[Produktkod]], tblProd[Produktkod], tblProd[Självkostnad/st])</f>
        <v>260</v>
      </c>
      <c r="J133" s="2" t="str">
        <f>_xlfn.XLOOKUP(tblOrder[[#This Row],[Kundkod]], tblKund[Kundkod], tblKund[Kund], "Okänd kund")</f>
        <v>Kongsberg Automotive</v>
      </c>
      <c r="K133" s="2">
        <f>tblOrder[[#This Row],[Antal]]*tblOrder[[#This Row],[Styckpris]]</f>
        <v>313920</v>
      </c>
      <c r="L133" s="14">
        <f>_xlfn.XLOOKUP(tblOrder[[#This Row],[Antal]], tblRabatt[Min antal], tblRabatt[Rabattsats], , -1)</f>
        <v>0.12</v>
      </c>
      <c r="M133" s="19">
        <f t="shared" si="2"/>
        <v>143880</v>
      </c>
    </row>
    <row r="134" spans="1:13" x14ac:dyDescent="0.25">
      <c r="A134" s="4" t="s">
        <v>226</v>
      </c>
      <c r="B134" s="8">
        <v>46085</v>
      </c>
      <c r="C134" s="4" t="s">
        <v>220</v>
      </c>
      <c r="D134" s="4" t="s">
        <v>47</v>
      </c>
      <c r="E134" s="4" t="s">
        <v>79</v>
      </c>
      <c r="F134" s="3">
        <v>38</v>
      </c>
      <c r="G134" s="2" t="str">
        <f>_xlfn.XLOOKUP(tblOrder[[#This Row],[Produktkod]], tblProd[Produktkod], tblProd[Produktnamn])</f>
        <v>Packningssats PS-3</v>
      </c>
      <c r="H134" s="2">
        <f>_xlfn.XLOOKUP(tblOrder[[#This Row],[Produktkod]], tblProd[Produktkod], tblProd[Styckpris])</f>
        <v>145</v>
      </c>
      <c r="I134" s="2">
        <f>_xlfn.XLOOKUP(tblOrder[[#This Row],[Produktkod]], tblProd[Produktkod], tblProd[Självkostnad/st])</f>
        <v>68</v>
      </c>
      <c r="J134" s="2" t="str">
        <f>_xlfn.XLOOKUP(tblOrder[[#This Row],[Kundkod]], tblKund[Kundkod], tblKund[Kund], "Okänd kund")</f>
        <v>Industrikomponenter</v>
      </c>
      <c r="K134" s="2">
        <f>tblOrder[[#This Row],[Antal]]*tblOrder[[#This Row],[Styckpris]]</f>
        <v>5510</v>
      </c>
      <c r="L134" s="14">
        <f>_xlfn.XLOOKUP(tblOrder[[#This Row],[Antal]], tblRabatt[Min antal], tblRabatt[Rabattsats], , -1)</f>
        <v>0</v>
      </c>
      <c r="M134" s="19">
        <f t="shared" si="2"/>
        <v>2926</v>
      </c>
    </row>
    <row r="135" spans="1:13" x14ac:dyDescent="0.25">
      <c r="A135" s="4" t="s">
        <v>227</v>
      </c>
      <c r="B135" s="8">
        <v>46086</v>
      </c>
      <c r="C135" s="4" t="s">
        <v>220</v>
      </c>
      <c r="D135" s="4" t="s">
        <v>40</v>
      </c>
      <c r="E135" s="4" t="s">
        <v>68</v>
      </c>
      <c r="F135" s="3">
        <v>121</v>
      </c>
      <c r="G135" s="2" t="str">
        <f>_xlfn.XLOOKUP(tblOrder[[#This Row],[Produktkod]], tblProd[Produktkod], tblProd[Produktnamn])</f>
        <v>Kabelhärva KH-7</v>
      </c>
      <c r="H135" s="2">
        <f>_xlfn.XLOOKUP(tblOrder[[#This Row],[Produktkod]], tblProd[Produktkod], tblProd[Styckpris])</f>
        <v>890</v>
      </c>
      <c r="I135" s="2">
        <f>_xlfn.XLOOKUP(tblOrder[[#This Row],[Produktkod]], tblProd[Produktkod], tblProd[Självkostnad/st])</f>
        <v>510</v>
      </c>
      <c r="J135" s="2" t="str">
        <f>_xlfn.XLOOKUP(tblOrder[[#This Row],[Kundkod]], tblKund[Kundkod], tblKund[Kund], "Okänd kund")</f>
        <v>Bosch Rexroth</v>
      </c>
      <c r="K135" s="2">
        <f>tblOrder[[#This Row],[Antal]]*tblOrder[[#This Row],[Styckpris]]</f>
        <v>107690</v>
      </c>
      <c r="L135" s="14">
        <f>_xlfn.XLOOKUP(tblOrder[[#This Row],[Antal]], tblRabatt[Min antal], tblRabatt[Rabattsats], , -1)</f>
        <v>0.05</v>
      </c>
      <c r="M135" s="19">
        <f t="shared" si="2"/>
        <v>45980</v>
      </c>
    </row>
    <row r="136" spans="1:13" x14ac:dyDescent="0.25">
      <c r="A136" s="4" t="s">
        <v>228</v>
      </c>
      <c r="B136" s="8">
        <v>46086</v>
      </c>
      <c r="C136" s="4" t="s">
        <v>220</v>
      </c>
      <c r="D136" s="4" t="s">
        <v>47</v>
      </c>
      <c r="E136" s="4" t="s">
        <v>76</v>
      </c>
      <c r="F136" s="3">
        <v>14</v>
      </c>
      <c r="G136" s="2" t="str">
        <f>_xlfn.XLOOKUP(tblOrder[[#This Row],[Produktkod]], tblProd[Produktkod], tblProd[Produktnamn])</f>
        <v>Packningssats PS-3</v>
      </c>
      <c r="H136" s="2">
        <f>_xlfn.XLOOKUP(tblOrder[[#This Row],[Produktkod]], tblProd[Produktkod], tblProd[Styckpris])</f>
        <v>145</v>
      </c>
      <c r="I136" s="2">
        <f>_xlfn.XLOOKUP(tblOrder[[#This Row],[Produktkod]], tblProd[Produktkod], tblProd[Självkostnad/st])</f>
        <v>68</v>
      </c>
      <c r="J136" s="2" t="str">
        <f>_xlfn.XLOOKUP(tblOrder[[#This Row],[Kundkod]], tblKund[Kundkod], tblKund[Kund], "Okänd kund")</f>
        <v>Maskin &amp; Verktyg</v>
      </c>
      <c r="K136" s="2">
        <f>tblOrder[[#This Row],[Antal]]*tblOrder[[#This Row],[Styckpris]]</f>
        <v>2030</v>
      </c>
      <c r="L136" s="14">
        <f>_xlfn.XLOOKUP(tblOrder[[#This Row],[Antal]], tblRabatt[Min antal], tblRabatt[Rabattsats], , -1)</f>
        <v>0</v>
      </c>
      <c r="M136" s="19">
        <f t="shared" si="2"/>
        <v>1078</v>
      </c>
    </row>
    <row r="137" spans="1:13" x14ac:dyDescent="0.25">
      <c r="A137" s="4" t="s">
        <v>229</v>
      </c>
      <c r="B137" s="8">
        <v>46086</v>
      </c>
      <c r="C137" s="4" t="s">
        <v>220</v>
      </c>
      <c r="D137" s="4" t="s">
        <v>42</v>
      </c>
      <c r="E137" s="4" t="s">
        <v>53</v>
      </c>
      <c r="F137" s="3">
        <v>80</v>
      </c>
      <c r="G137" s="2" t="str">
        <f>_xlfn.XLOOKUP(tblOrder[[#This Row],[Produktkod]], tblProd[Produktkod], tblProd[Produktnamn])</f>
        <v>Lagersats LS-22</v>
      </c>
      <c r="H137" s="2">
        <f>_xlfn.XLOOKUP(tblOrder[[#This Row],[Produktkod]], tblProd[Produktkod], tblProd[Styckpris])</f>
        <v>650</v>
      </c>
      <c r="I137" s="2">
        <f>_xlfn.XLOOKUP(tblOrder[[#This Row],[Produktkod]], tblProd[Produktkod], tblProd[Självkostnad/st])</f>
        <v>380</v>
      </c>
      <c r="J137" s="2" t="str">
        <f>_xlfn.XLOOKUP(tblOrder[[#This Row],[Kundkod]], tblKund[Kundkod], tblKund[Kund], "Okänd kund")</f>
        <v>Volvo Lastvagnar</v>
      </c>
      <c r="K137" s="2">
        <f>tblOrder[[#This Row],[Antal]]*tblOrder[[#This Row],[Styckpris]]</f>
        <v>52000</v>
      </c>
      <c r="L137" s="14">
        <f>_xlfn.XLOOKUP(tblOrder[[#This Row],[Antal]], tblRabatt[Min antal], tblRabatt[Rabattsats], , -1)</f>
        <v>0.03</v>
      </c>
      <c r="M137" s="19">
        <f t="shared" si="2"/>
        <v>21600</v>
      </c>
    </row>
    <row r="138" spans="1:13" x14ac:dyDescent="0.25">
      <c r="A138" s="4" t="s">
        <v>230</v>
      </c>
      <c r="B138" s="8">
        <v>46086</v>
      </c>
      <c r="C138" s="4" t="s">
        <v>220</v>
      </c>
      <c r="D138" s="4" t="s">
        <v>42</v>
      </c>
      <c r="E138" s="4" t="s">
        <v>71</v>
      </c>
      <c r="F138" s="3">
        <v>86</v>
      </c>
      <c r="G138" s="2" t="str">
        <f>_xlfn.XLOOKUP(tblOrder[[#This Row],[Produktkod]], tblProd[Produktkod], tblProd[Produktnamn])</f>
        <v>Lagersats LS-22</v>
      </c>
      <c r="H138" s="2">
        <f>_xlfn.XLOOKUP(tblOrder[[#This Row],[Produktkod]], tblProd[Produktkod], tblProd[Styckpris])</f>
        <v>650</v>
      </c>
      <c r="I138" s="2">
        <f>_xlfn.XLOOKUP(tblOrder[[#This Row],[Produktkod]], tblProd[Produktkod], tblProd[Självkostnad/st])</f>
        <v>380</v>
      </c>
      <c r="J138" s="2" t="str">
        <f>_xlfn.XLOOKUP(tblOrder[[#This Row],[Kundkod]], tblKund[Kundkod], tblKund[Kund], "Okänd kund")</f>
        <v>Hydraul-Service AB</v>
      </c>
      <c r="K138" s="2">
        <f>tblOrder[[#This Row],[Antal]]*tblOrder[[#This Row],[Styckpris]]</f>
        <v>55900</v>
      </c>
      <c r="L138" s="14">
        <f>_xlfn.XLOOKUP(tblOrder[[#This Row],[Antal]], tblRabatt[Min antal], tblRabatt[Rabattsats], , -1)</f>
        <v>0.03</v>
      </c>
      <c r="M138" s="19">
        <f t="shared" si="2"/>
        <v>23220</v>
      </c>
    </row>
    <row r="139" spans="1:13" x14ac:dyDescent="0.25">
      <c r="A139" s="4" t="s">
        <v>231</v>
      </c>
      <c r="B139" s="8">
        <v>46087</v>
      </c>
      <c r="C139" s="4" t="s">
        <v>220</v>
      </c>
      <c r="D139" s="4" t="s">
        <v>26</v>
      </c>
      <c r="E139" s="4" t="s">
        <v>57</v>
      </c>
      <c r="F139" s="3">
        <v>9</v>
      </c>
      <c r="G139" s="2" t="str">
        <f>_xlfn.XLOOKUP(tblOrder[[#This Row],[Produktkod]], tblProd[Produktkod], tblProd[Produktnamn])</f>
        <v>Ventilblock VB-30</v>
      </c>
      <c r="H139" s="2">
        <f>_xlfn.XLOOKUP(tblOrder[[#This Row],[Produktkod]], tblProd[Produktkod], tblProd[Styckpris])</f>
        <v>3200</v>
      </c>
      <c r="I139" s="2">
        <f>_xlfn.XLOOKUP(tblOrder[[#This Row],[Produktkod]], tblProd[Produktkod], tblProd[Självkostnad/st])</f>
        <v>1950</v>
      </c>
      <c r="J139" s="2" t="str">
        <f>_xlfn.XLOOKUP(tblOrder[[#This Row],[Kundkod]], tblKund[Kundkod], tblKund[Kund], "Okänd kund")</f>
        <v>Scania CV</v>
      </c>
      <c r="K139" s="2">
        <f>tblOrder[[#This Row],[Antal]]*tblOrder[[#This Row],[Styckpris]]</f>
        <v>28800</v>
      </c>
      <c r="L139" s="14">
        <f>_xlfn.XLOOKUP(tblOrder[[#This Row],[Antal]], tblRabatt[Min antal], tblRabatt[Rabattsats], , -1)</f>
        <v>0</v>
      </c>
      <c r="M139" s="19">
        <f t="shared" si="2"/>
        <v>11250</v>
      </c>
    </row>
    <row r="140" spans="1:13" x14ac:dyDescent="0.25">
      <c r="A140" s="4" t="s">
        <v>232</v>
      </c>
      <c r="B140" s="8">
        <v>46087</v>
      </c>
      <c r="C140" s="4" t="s">
        <v>220</v>
      </c>
      <c r="D140" s="4" t="s">
        <v>33</v>
      </c>
      <c r="E140" s="4" t="s">
        <v>71</v>
      </c>
      <c r="F140" s="3">
        <v>189</v>
      </c>
      <c r="G140" s="2" t="str">
        <f>_xlfn.XLOOKUP(tblOrder[[#This Row],[Produktkod]], tblProd[Produktkod], tblProd[Produktnamn])</f>
        <v>Skruvkit SK-100</v>
      </c>
      <c r="H140" s="2">
        <f>_xlfn.XLOOKUP(tblOrder[[#This Row],[Produktkod]], tblProd[Produktkod], tblProd[Styckpris])</f>
        <v>320</v>
      </c>
      <c r="I140" s="2">
        <f>_xlfn.XLOOKUP(tblOrder[[#This Row],[Produktkod]], tblProd[Produktkod], tblProd[Självkostnad/st])</f>
        <v>165</v>
      </c>
      <c r="J140" s="2" t="str">
        <f>_xlfn.XLOOKUP(tblOrder[[#This Row],[Kundkod]], tblKund[Kundkod], tblKund[Kund], "Okänd kund")</f>
        <v>Hydraul-Service AB</v>
      </c>
      <c r="K140" s="2">
        <f>tblOrder[[#This Row],[Antal]]*tblOrder[[#This Row],[Styckpris]]</f>
        <v>60480</v>
      </c>
      <c r="L140" s="14">
        <f>_xlfn.XLOOKUP(tblOrder[[#This Row],[Antal]], tblRabatt[Min antal], tblRabatt[Rabattsats], , -1)</f>
        <v>0.05</v>
      </c>
      <c r="M140" s="19">
        <f t="shared" si="2"/>
        <v>29295</v>
      </c>
    </row>
    <row r="141" spans="1:13" x14ac:dyDescent="0.25">
      <c r="A141" s="4" t="s">
        <v>233</v>
      </c>
      <c r="B141" s="8">
        <v>46087</v>
      </c>
      <c r="C141" s="4" t="s">
        <v>220</v>
      </c>
      <c r="D141" s="4" t="s">
        <v>38</v>
      </c>
      <c r="E141" s="4" t="s">
        <v>65</v>
      </c>
      <c r="F141" s="3">
        <v>209</v>
      </c>
      <c r="G141" s="2" t="str">
        <f>_xlfn.XLOOKUP(tblOrder[[#This Row],[Produktkod]], tblProd[Produktkod], tblProd[Produktnamn])</f>
        <v>Sensor S-45</v>
      </c>
      <c r="H141" s="2">
        <f>_xlfn.XLOOKUP(tblOrder[[#This Row],[Produktkod]], tblProd[Produktkod], tblProd[Styckpris])</f>
        <v>2100</v>
      </c>
      <c r="I141" s="2">
        <f>_xlfn.XLOOKUP(tblOrder[[#This Row],[Produktkod]], tblProd[Produktkod], tblProd[Självkostnad/st])</f>
        <v>1180</v>
      </c>
      <c r="J141" s="2" t="str">
        <f>_xlfn.XLOOKUP(tblOrder[[#This Row],[Kundkod]], tblKund[Kundkod], tblKund[Kund], "Okänd kund")</f>
        <v>Wärtsilä</v>
      </c>
      <c r="K141" s="2">
        <f>tblOrder[[#This Row],[Antal]]*tblOrder[[#This Row],[Styckpris]]</f>
        <v>438900</v>
      </c>
      <c r="L141" s="14">
        <f>_xlfn.XLOOKUP(tblOrder[[#This Row],[Antal]], tblRabatt[Min antal], tblRabatt[Rabattsats], , -1)</f>
        <v>0.05</v>
      </c>
      <c r="M141" s="19">
        <f t="shared" si="2"/>
        <v>192280</v>
      </c>
    </row>
    <row r="142" spans="1:13" x14ac:dyDescent="0.25">
      <c r="A142" s="4" t="s">
        <v>234</v>
      </c>
      <c r="B142" s="8">
        <v>46087</v>
      </c>
      <c r="C142" s="4" t="s">
        <v>220</v>
      </c>
      <c r="D142" s="4" t="s">
        <v>47</v>
      </c>
      <c r="E142" s="4" t="s">
        <v>62</v>
      </c>
      <c r="F142" s="3">
        <v>155</v>
      </c>
      <c r="G142" s="2" t="str">
        <f>_xlfn.XLOOKUP(tblOrder[[#This Row],[Produktkod]], tblProd[Produktkod], tblProd[Produktnamn])</f>
        <v>Packningssats PS-3</v>
      </c>
      <c r="H142" s="2">
        <f>_xlfn.XLOOKUP(tblOrder[[#This Row],[Produktkod]], tblProd[Produktkod], tblProd[Styckpris])</f>
        <v>145</v>
      </c>
      <c r="I142" s="2">
        <f>_xlfn.XLOOKUP(tblOrder[[#This Row],[Produktkod]], tblProd[Produktkod], tblProd[Självkostnad/st])</f>
        <v>68</v>
      </c>
      <c r="J142" s="2" t="str">
        <f>_xlfn.XLOOKUP(tblOrder[[#This Row],[Kundkod]], tblKund[Kundkod], tblKund[Kund], "Okänd kund")</f>
        <v>Danfoss A/S</v>
      </c>
      <c r="K142" s="2">
        <f>tblOrder[[#This Row],[Antal]]*tblOrder[[#This Row],[Styckpris]]</f>
        <v>22475</v>
      </c>
      <c r="L142" s="14">
        <f>_xlfn.XLOOKUP(tblOrder[[#This Row],[Antal]], tblRabatt[Min antal], tblRabatt[Rabattsats], , -1)</f>
        <v>0.05</v>
      </c>
      <c r="M142" s="19">
        <f t="shared" si="2"/>
        <v>11935</v>
      </c>
    </row>
    <row r="143" spans="1:13" x14ac:dyDescent="0.25">
      <c r="A143" s="4" t="s">
        <v>235</v>
      </c>
      <c r="B143" s="8">
        <v>46088</v>
      </c>
      <c r="C143" s="4" t="s">
        <v>220</v>
      </c>
      <c r="D143" s="4" t="s">
        <v>40</v>
      </c>
      <c r="E143" s="4" t="s">
        <v>59</v>
      </c>
      <c r="F143" s="3">
        <v>41</v>
      </c>
      <c r="G143" s="2" t="str">
        <f>_xlfn.XLOOKUP(tblOrder[[#This Row],[Produktkod]], tblProd[Produktkod], tblProd[Produktnamn])</f>
        <v>Kabelhärva KH-7</v>
      </c>
      <c r="H143" s="2">
        <f>_xlfn.XLOOKUP(tblOrder[[#This Row],[Produktkod]], tblProd[Produktkod], tblProd[Styckpris])</f>
        <v>890</v>
      </c>
      <c r="I143" s="2">
        <f>_xlfn.XLOOKUP(tblOrder[[#This Row],[Produktkod]], tblProd[Produktkod], tblProd[Självkostnad/st])</f>
        <v>510</v>
      </c>
      <c r="J143" s="2" t="str">
        <f>_xlfn.XLOOKUP(tblOrder[[#This Row],[Kundkod]], tblKund[Kundkod], tblKund[Kund], "Okänd kund")</f>
        <v>Kongsberg Automotive</v>
      </c>
      <c r="K143" s="2">
        <f>tblOrder[[#This Row],[Antal]]*tblOrder[[#This Row],[Styckpris]]</f>
        <v>36490</v>
      </c>
      <c r="L143" s="14">
        <f>_xlfn.XLOOKUP(tblOrder[[#This Row],[Antal]], tblRabatt[Min antal], tblRabatt[Rabattsats], , -1)</f>
        <v>0</v>
      </c>
      <c r="M143" s="19">
        <f t="shared" si="2"/>
        <v>15580</v>
      </c>
    </row>
    <row r="144" spans="1:13" x14ac:dyDescent="0.25">
      <c r="A144" s="4" t="s">
        <v>236</v>
      </c>
      <c r="B144" s="8">
        <v>46089</v>
      </c>
      <c r="C144" s="4" t="s">
        <v>220</v>
      </c>
      <c r="D144" s="4" t="s">
        <v>35</v>
      </c>
      <c r="E144" s="4" t="s">
        <v>74</v>
      </c>
      <c r="F144" s="3">
        <v>225</v>
      </c>
      <c r="G144" s="2" t="str">
        <f>_xlfn.XLOOKUP(tblOrder[[#This Row],[Produktkod]], tblProd[Produktkod], tblProd[Produktnamn])</f>
        <v>Styrenhet CU-X1</v>
      </c>
      <c r="H144" s="2">
        <f>_xlfn.XLOOKUP(tblOrder[[#This Row],[Produktkod]], tblProd[Produktkod], tblProd[Styckpris])</f>
        <v>12500</v>
      </c>
      <c r="I144" s="2">
        <f>_xlfn.XLOOKUP(tblOrder[[#This Row],[Produktkod]], tblProd[Produktkod], tblProd[Självkostnad/st])</f>
        <v>8200</v>
      </c>
      <c r="J144" s="2" t="str">
        <f>_xlfn.XLOOKUP(tblOrder[[#This Row],[Kundkod]], tblKund[Kundkod], tblKund[Kund], "Okänd kund")</f>
        <v>Nordic Parts AS</v>
      </c>
      <c r="K144" s="2">
        <f>tblOrder[[#This Row],[Antal]]*tblOrder[[#This Row],[Styckpris]]</f>
        <v>2812500</v>
      </c>
      <c r="L144" s="14">
        <f>_xlfn.XLOOKUP(tblOrder[[#This Row],[Antal]], tblRabatt[Min antal], tblRabatt[Rabattsats], , -1)</f>
        <v>0.05</v>
      </c>
      <c r="M144" s="19">
        <f t="shared" si="2"/>
        <v>967500</v>
      </c>
    </row>
    <row r="145" spans="1:13" x14ac:dyDescent="0.25">
      <c r="A145" s="4" t="s">
        <v>237</v>
      </c>
      <c r="B145" s="8">
        <v>46089</v>
      </c>
      <c r="C145" s="4" t="s">
        <v>220</v>
      </c>
      <c r="D145" s="4" t="s">
        <v>26</v>
      </c>
      <c r="E145" s="4" t="s">
        <v>74</v>
      </c>
      <c r="F145" s="3">
        <v>9</v>
      </c>
      <c r="G145" s="2" t="str">
        <f>_xlfn.XLOOKUP(tblOrder[[#This Row],[Produktkod]], tblProd[Produktkod], tblProd[Produktnamn])</f>
        <v>Ventilblock VB-30</v>
      </c>
      <c r="H145" s="2">
        <f>_xlfn.XLOOKUP(tblOrder[[#This Row],[Produktkod]], tblProd[Produktkod], tblProd[Styckpris])</f>
        <v>3200</v>
      </c>
      <c r="I145" s="2">
        <f>_xlfn.XLOOKUP(tblOrder[[#This Row],[Produktkod]], tblProd[Produktkod], tblProd[Självkostnad/st])</f>
        <v>1950</v>
      </c>
      <c r="J145" s="2" t="str">
        <f>_xlfn.XLOOKUP(tblOrder[[#This Row],[Kundkod]], tblKund[Kundkod], tblKund[Kund], "Okänd kund")</f>
        <v>Nordic Parts AS</v>
      </c>
      <c r="K145" s="2">
        <f>tblOrder[[#This Row],[Antal]]*tblOrder[[#This Row],[Styckpris]]</f>
        <v>28800</v>
      </c>
      <c r="L145" s="14">
        <f>_xlfn.XLOOKUP(tblOrder[[#This Row],[Antal]], tblRabatt[Min antal], tblRabatt[Rabattsats], , -1)</f>
        <v>0</v>
      </c>
      <c r="M145" s="19">
        <f t="shared" si="2"/>
        <v>11250</v>
      </c>
    </row>
    <row r="146" spans="1:13" x14ac:dyDescent="0.25">
      <c r="A146" s="4" t="s">
        <v>238</v>
      </c>
      <c r="B146" s="8">
        <v>46089</v>
      </c>
      <c r="C146" s="4" t="s">
        <v>220</v>
      </c>
      <c r="D146" s="4" t="s">
        <v>42</v>
      </c>
      <c r="E146" s="4" t="s">
        <v>74</v>
      </c>
      <c r="F146" s="3">
        <v>10</v>
      </c>
      <c r="G146" s="2" t="str">
        <f>_xlfn.XLOOKUP(tblOrder[[#This Row],[Produktkod]], tblProd[Produktkod], tblProd[Produktnamn])</f>
        <v>Lagersats LS-22</v>
      </c>
      <c r="H146" s="2">
        <f>_xlfn.XLOOKUP(tblOrder[[#This Row],[Produktkod]], tblProd[Produktkod], tblProd[Styckpris])</f>
        <v>650</v>
      </c>
      <c r="I146" s="2">
        <f>_xlfn.XLOOKUP(tblOrder[[#This Row],[Produktkod]], tblProd[Produktkod], tblProd[Självkostnad/st])</f>
        <v>380</v>
      </c>
      <c r="J146" s="2" t="str">
        <f>_xlfn.XLOOKUP(tblOrder[[#This Row],[Kundkod]], tblKund[Kundkod], tblKund[Kund], "Okänd kund")</f>
        <v>Nordic Parts AS</v>
      </c>
      <c r="K146" s="2">
        <f>tblOrder[[#This Row],[Antal]]*tblOrder[[#This Row],[Styckpris]]</f>
        <v>6500</v>
      </c>
      <c r="L146" s="14">
        <f>_xlfn.XLOOKUP(tblOrder[[#This Row],[Antal]], tblRabatt[Min antal], tblRabatt[Rabattsats], , -1)</f>
        <v>0</v>
      </c>
      <c r="M146" s="19">
        <f t="shared" si="2"/>
        <v>2700</v>
      </c>
    </row>
    <row r="147" spans="1:13" x14ac:dyDescent="0.25">
      <c r="A147" s="4" t="s">
        <v>239</v>
      </c>
      <c r="B147" s="8">
        <v>46090</v>
      </c>
      <c r="C147" s="4" t="s">
        <v>220</v>
      </c>
      <c r="D147" s="4" t="s">
        <v>33</v>
      </c>
      <c r="E147" s="4" t="s">
        <v>74</v>
      </c>
      <c r="F147" s="3">
        <v>89</v>
      </c>
      <c r="G147" s="2" t="str">
        <f>_xlfn.XLOOKUP(tblOrder[[#This Row],[Produktkod]], tblProd[Produktkod], tblProd[Produktnamn])</f>
        <v>Skruvkit SK-100</v>
      </c>
      <c r="H147" s="2">
        <f>_xlfn.XLOOKUP(tblOrder[[#This Row],[Produktkod]], tblProd[Produktkod], tblProd[Styckpris])</f>
        <v>320</v>
      </c>
      <c r="I147" s="2">
        <f>_xlfn.XLOOKUP(tblOrder[[#This Row],[Produktkod]], tblProd[Produktkod], tblProd[Självkostnad/st])</f>
        <v>165</v>
      </c>
      <c r="J147" s="2" t="str">
        <f>_xlfn.XLOOKUP(tblOrder[[#This Row],[Kundkod]], tblKund[Kundkod], tblKund[Kund], "Okänd kund")</f>
        <v>Nordic Parts AS</v>
      </c>
      <c r="K147" s="2">
        <f>tblOrder[[#This Row],[Antal]]*tblOrder[[#This Row],[Styckpris]]</f>
        <v>28480</v>
      </c>
      <c r="L147" s="14">
        <f>_xlfn.XLOOKUP(tblOrder[[#This Row],[Antal]], tblRabatt[Min antal], tblRabatt[Rabattsats], , -1)</f>
        <v>0.03</v>
      </c>
      <c r="M147" s="19">
        <f t="shared" si="2"/>
        <v>13795</v>
      </c>
    </row>
    <row r="148" spans="1:13" x14ac:dyDescent="0.25">
      <c r="A148" s="4" t="s">
        <v>240</v>
      </c>
      <c r="B148" s="8">
        <v>46091</v>
      </c>
      <c r="C148" s="4" t="s">
        <v>220</v>
      </c>
      <c r="D148" s="4" t="s">
        <v>33</v>
      </c>
      <c r="E148" s="4" t="s">
        <v>79</v>
      </c>
      <c r="F148" s="3">
        <v>277</v>
      </c>
      <c r="G148" s="2" t="str">
        <f>_xlfn.XLOOKUP(tblOrder[[#This Row],[Produktkod]], tblProd[Produktkod], tblProd[Produktnamn])</f>
        <v>Skruvkit SK-100</v>
      </c>
      <c r="H148" s="2">
        <f>_xlfn.XLOOKUP(tblOrder[[#This Row],[Produktkod]], tblProd[Produktkod], tblProd[Styckpris])</f>
        <v>320</v>
      </c>
      <c r="I148" s="2">
        <f>_xlfn.XLOOKUP(tblOrder[[#This Row],[Produktkod]], tblProd[Produktkod], tblProd[Självkostnad/st])</f>
        <v>165</v>
      </c>
      <c r="J148" s="2" t="str">
        <f>_xlfn.XLOOKUP(tblOrder[[#This Row],[Kundkod]], tblKund[Kundkod], tblKund[Kund], "Okänd kund")</f>
        <v>Industrikomponenter</v>
      </c>
      <c r="K148" s="2">
        <f>tblOrder[[#This Row],[Antal]]*tblOrder[[#This Row],[Styckpris]]</f>
        <v>88640</v>
      </c>
      <c r="L148" s="14">
        <f>_xlfn.XLOOKUP(tblOrder[[#This Row],[Antal]], tblRabatt[Min antal], tblRabatt[Rabattsats], , -1)</f>
        <v>0.08</v>
      </c>
      <c r="M148" s="19">
        <f t="shared" si="2"/>
        <v>42935</v>
      </c>
    </row>
    <row r="149" spans="1:13" x14ac:dyDescent="0.25">
      <c r="A149" s="4" t="s">
        <v>241</v>
      </c>
      <c r="B149" s="8">
        <v>46091</v>
      </c>
      <c r="C149" s="4" t="s">
        <v>220</v>
      </c>
      <c r="D149" s="4" t="s">
        <v>47</v>
      </c>
      <c r="E149" s="4" t="s">
        <v>71</v>
      </c>
      <c r="F149" s="3">
        <v>45</v>
      </c>
      <c r="G149" s="2" t="str">
        <f>_xlfn.XLOOKUP(tblOrder[[#This Row],[Produktkod]], tblProd[Produktkod], tblProd[Produktnamn])</f>
        <v>Packningssats PS-3</v>
      </c>
      <c r="H149" s="2">
        <f>_xlfn.XLOOKUP(tblOrder[[#This Row],[Produktkod]], tblProd[Produktkod], tblProd[Styckpris])</f>
        <v>145</v>
      </c>
      <c r="I149" s="2">
        <f>_xlfn.XLOOKUP(tblOrder[[#This Row],[Produktkod]], tblProd[Produktkod], tblProd[Självkostnad/st])</f>
        <v>68</v>
      </c>
      <c r="J149" s="2" t="str">
        <f>_xlfn.XLOOKUP(tblOrder[[#This Row],[Kundkod]], tblKund[Kundkod], tblKund[Kund], "Okänd kund")</f>
        <v>Hydraul-Service AB</v>
      </c>
      <c r="K149" s="2">
        <f>tblOrder[[#This Row],[Antal]]*tblOrder[[#This Row],[Styckpris]]</f>
        <v>6525</v>
      </c>
      <c r="L149" s="14">
        <f>_xlfn.XLOOKUP(tblOrder[[#This Row],[Antal]], tblRabatt[Min antal], tblRabatt[Rabattsats], , -1)</f>
        <v>0</v>
      </c>
      <c r="M149" s="19">
        <f t="shared" si="2"/>
        <v>3465</v>
      </c>
    </row>
    <row r="150" spans="1:13" x14ac:dyDescent="0.25">
      <c r="A150" s="4" t="s">
        <v>242</v>
      </c>
      <c r="B150" s="8">
        <v>46092</v>
      </c>
      <c r="C150" s="4" t="s">
        <v>220</v>
      </c>
      <c r="D150" s="4" t="s">
        <v>40</v>
      </c>
      <c r="E150" s="4" t="s">
        <v>53</v>
      </c>
      <c r="F150" s="3">
        <v>25</v>
      </c>
      <c r="G150" s="2" t="str">
        <f>_xlfn.XLOOKUP(tblOrder[[#This Row],[Produktkod]], tblProd[Produktkod], tblProd[Produktnamn])</f>
        <v>Kabelhärva KH-7</v>
      </c>
      <c r="H150" s="2">
        <f>_xlfn.XLOOKUP(tblOrder[[#This Row],[Produktkod]], tblProd[Produktkod], tblProd[Styckpris])</f>
        <v>890</v>
      </c>
      <c r="I150" s="2">
        <f>_xlfn.XLOOKUP(tblOrder[[#This Row],[Produktkod]], tblProd[Produktkod], tblProd[Självkostnad/st])</f>
        <v>510</v>
      </c>
      <c r="J150" s="2" t="str">
        <f>_xlfn.XLOOKUP(tblOrder[[#This Row],[Kundkod]], tblKund[Kundkod], tblKund[Kund], "Okänd kund")</f>
        <v>Volvo Lastvagnar</v>
      </c>
      <c r="K150" s="2">
        <f>tblOrder[[#This Row],[Antal]]*tblOrder[[#This Row],[Styckpris]]</f>
        <v>22250</v>
      </c>
      <c r="L150" s="14">
        <f>_xlfn.XLOOKUP(tblOrder[[#This Row],[Antal]], tblRabatt[Min antal], tblRabatt[Rabattsats], , -1)</f>
        <v>0</v>
      </c>
      <c r="M150" s="19">
        <f t="shared" si="2"/>
        <v>9500</v>
      </c>
    </row>
    <row r="151" spans="1:13" x14ac:dyDescent="0.25">
      <c r="A151" s="4" t="s">
        <v>243</v>
      </c>
      <c r="B151" s="8">
        <v>46092</v>
      </c>
      <c r="C151" s="4" t="s">
        <v>220</v>
      </c>
      <c r="D151" s="4" t="s">
        <v>35</v>
      </c>
      <c r="E151" s="4" t="s">
        <v>71</v>
      </c>
      <c r="F151" s="3">
        <v>40</v>
      </c>
      <c r="G151" s="2" t="str">
        <f>_xlfn.XLOOKUP(tblOrder[[#This Row],[Produktkod]], tblProd[Produktkod], tblProd[Produktnamn])</f>
        <v>Styrenhet CU-X1</v>
      </c>
      <c r="H151" s="2">
        <f>_xlfn.XLOOKUP(tblOrder[[#This Row],[Produktkod]], tblProd[Produktkod], tblProd[Styckpris])</f>
        <v>12500</v>
      </c>
      <c r="I151" s="2">
        <f>_xlfn.XLOOKUP(tblOrder[[#This Row],[Produktkod]], tblProd[Produktkod], tblProd[Självkostnad/st])</f>
        <v>8200</v>
      </c>
      <c r="J151" s="2" t="str">
        <f>_xlfn.XLOOKUP(tblOrder[[#This Row],[Kundkod]], tblKund[Kundkod], tblKund[Kund], "Okänd kund")</f>
        <v>Hydraul-Service AB</v>
      </c>
      <c r="K151" s="2">
        <f>tblOrder[[#This Row],[Antal]]*tblOrder[[#This Row],[Styckpris]]</f>
        <v>500000</v>
      </c>
      <c r="L151" s="14">
        <f>_xlfn.XLOOKUP(tblOrder[[#This Row],[Antal]], tblRabatt[Min antal], tblRabatt[Rabattsats], , -1)</f>
        <v>0</v>
      </c>
      <c r="M151" s="19">
        <f t="shared" si="2"/>
        <v>172000</v>
      </c>
    </row>
    <row r="152" spans="1:13" x14ac:dyDescent="0.25">
      <c r="A152" s="4" t="s">
        <v>244</v>
      </c>
      <c r="B152" s="8">
        <v>46092</v>
      </c>
      <c r="C152" s="4" t="s">
        <v>220</v>
      </c>
      <c r="D152" s="4" t="s">
        <v>24</v>
      </c>
      <c r="E152" s="4" t="s">
        <v>68</v>
      </c>
      <c r="F152" s="3">
        <v>10</v>
      </c>
      <c r="G152" s="2" t="str">
        <f>_xlfn.XLOOKUP(tblOrder[[#This Row],[Produktkod]], tblProd[Produktkod], tblProd[Produktnamn])</f>
        <v>Hydraulpump HP-200</v>
      </c>
      <c r="H152" s="2">
        <f>_xlfn.XLOOKUP(tblOrder[[#This Row],[Produktkod]], tblProd[Produktkod], tblProd[Styckpris])</f>
        <v>8900</v>
      </c>
      <c r="I152" s="2">
        <f>_xlfn.XLOOKUP(tblOrder[[#This Row],[Produktkod]], tblProd[Produktkod], tblProd[Självkostnad/st])</f>
        <v>5600</v>
      </c>
      <c r="J152" s="2" t="str">
        <f>_xlfn.XLOOKUP(tblOrder[[#This Row],[Kundkod]], tblKund[Kundkod], tblKund[Kund], "Okänd kund")</f>
        <v>Bosch Rexroth</v>
      </c>
      <c r="K152" s="2">
        <f>tblOrder[[#This Row],[Antal]]*tblOrder[[#This Row],[Styckpris]]</f>
        <v>89000</v>
      </c>
      <c r="L152" s="14">
        <f>_xlfn.XLOOKUP(tblOrder[[#This Row],[Antal]], tblRabatt[Min antal], tblRabatt[Rabattsats], , -1)</f>
        <v>0</v>
      </c>
      <c r="M152" s="19">
        <f t="shared" si="2"/>
        <v>33000</v>
      </c>
    </row>
    <row r="153" spans="1:13" x14ac:dyDescent="0.25">
      <c r="A153" s="4" t="s">
        <v>245</v>
      </c>
      <c r="B153" s="8">
        <v>46093</v>
      </c>
      <c r="C153" s="4" t="s">
        <v>220</v>
      </c>
      <c r="D153" s="4" t="s">
        <v>24</v>
      </c>
      <c r="E153" s="4" t="s">
        <v>79</v>
      </c>
      <c r="F153" s="3">
        <v>50</v>
      </c>
      <c r="G153" s="2" t="str">
        <f>_xlfn.XLOOKUP(tblOrder[[#This Row],[Produktkod]], tblProd[Produktkod], tblProd[Produktnamn])</f>
        <v>Hydraulpump HP-200</v>
      </c>
      <c r="H153" s="2">
        <f>_xlfn.XLOOKUP(tblOrder[[#This Row],[Produktkod]], tblProd[Produktkod], tblProd[Styckpris])</f>
        <v>8900</v>
      </c>
      <c r="I153" s="2">
        <f>_xlfn.XLOOKUP(tblOrder[[#This Row],[Produktkod]], tblProd[Produktkod], tblProd[Självkostnad/st])</f>
        <v>5600</v>
      </c>
      <c r="J153" s="2" t="str">
        <f>_xlfn.XLOOKUP(tblOrder[[#This Row],[Kundkod]], tblKund[Kundkod], tblKund[Kund], "Okänd kund")</f>
        <v>Industrikomponenter</v>
      </c>
      <c r="K153" s="2">
        <f>tblOrder[[#This Row],[Antal]]*tblOrder[[#This Row],[Styckpris]]</f>
        <v>445000</v>
      </c>
      <c r="L153" s="14">
        <f>_xlfn.XLOOKUP(tblOrder[[#This Row],[Antal]], tblRabatt[Min antal], tblRabatt[Rabattsats], , -1)</f>
        <v>0.03</v>
      </c>
      <c r="M153" s="19">
        <f t="shared" si="2"/>
        <v>165000</v>
      </c>
    </row>
    <row r="154" spans="1:13" x14ac:dyDescent="0.25">
      <c r="A154" s="4" t="s">
        <v>246</v>
      </c>
      <c r="B154" s="8">
        <v>46093</v>
      </c>
      <c r="C154" s="4" t="s">
        <v>220</v>
      </c>
      <c r="D154" s="4" t="s">
        <v>24</v>
      </c>
      <c r="E154" s="4" t="s">
        <v>121</v>
      </c>
      <c r="F154" s="3">
        <v>37</v>
      </c>
      <c r="G154" s="2" t="str">
        <f>_xlfn.XLOOKUP(tblOrder[[#This Row],[Produktkod]], tblProd[Produktkod], tblProd[Produktnamn])</f>
        <v>Hydraulpump HP-200</v>
      </c>
      <c r="H154" s="2">
        <f>_xlfn.XLOOKUP(tblOrder[[#This Row],[Produktkod]], tblProd[Produktkod], tblProd[Styckpris])</f>
        <v>8900</v>
      </c>
      <c r="I154" s="2">
        <f>_xlfn.XLOOKUP(tblOrder[[#This Row],[Produktkod]], tblProd[Produktkod], tblProd[Självkostnad/st])</f>
        <v>5600</v>
      </c>
      <c r="J154" s="2" t="str">
        <f>_xlfn.XLOOKUP(tblOrder[[#This Row],[Kundkod]], tblKund[Kundkod], tblKund[Kund], "Okänd kund")</f>
        <v>Okänd kund</v>
      </c>
      <c r="K154" s="2">
        <f>tblOrder[[#This Row],[Antal]]*tblOrder[[#This Row],[Styckpris]]</f>
        <v>329300</v>
      </c>
      <c r="L154" s="14">
        <f>_xlfn.XLOOKUP(tblOrder[[#This Row],[Antal]], tblRabatt[Min antal], tblRabatt[Rabattsats], , -1)</f>
        <v>0</v>
      </c>
      <c r="M154" s="19">
        <f t="shared" si="2"/>
        <v>122100</v>
      </c>
    </row>
    <row r="155" spans="1:13" x14ac:dyDescent="0.25">
      <c r="A155" s="4" t="s">
        <v>247</v>
      </c>
      <c r="B155" s="8">
        <v>46093</v>
      </c>
      <c r="C155" s="4" t="s">
        <v>220</v>
      </c>
      <c r="D155" s="4" t="s">
        <v>28</v>
      </c>
      <c r="E155" s="4" t="s">
        <v>76</v>
      </c>
      <c r="F155" s="3">
        <v>69</v>
      </c>
      <c r="G155" s="2" t="str">
        <f>_xlfn.XLOOKUP(tblOrder[[#This Row],[Produktkod]], tblProd[Produktkod], tblProd[Produktnamn])</f>
        <v>Montagesats MS-10</v>
      </c>
      <c r="H155" s="2">
        <f>_xlfn.XLOOKUP(tblOrder[[#This Row],[Produktkod]], tblProd[Produktkod], tblProd[Styckpris])</f>
        <v>1250</v>
      </c>
      <c r="I155" s="2">
        <f>_xlfn.XLOOKUP(tblOrder[[#This Row],[Produktkod]], tblProd[Produktkod], tblProd[Självkostnad/st])</f>
        <v>720</v>
      </c>
      <c r="J155" s="2" t="str">
        <f>_xlfn.XLOOKUP(tblOrder[[#This Row],[Kundkod]], tblKund[Kundkod], tblKund[Kund], "Okänd kund")</f>
        <v>Maskin &amp; Verktyg</v>
      </c>
      <c r="K155" s="2">
        <f>tblOrder[[#This Row],[Antal]]*tblOrder[[#This Row],[Styckpris]]</f>
        <v>86250</v>
      </c>
      <c r="L155" s="14">
        <f>_xlfn.XLOOKUP(tblOrder[[#This Row],[Antal]], tblRabatt[Min antal], tblRabatt[Rabattsats], , -1)</f>
        <v>0.03</v>
      </c>
      <c r="M155" s="19">
        <f t="shared" si="2"/>
        <v>36570</v>
      </c>
    </row>
    <row r="156" spans="1:13" x14ac:dyDescent="0.25">
      <c r="A156" s="4" t="s">
        <v>248</v>
      </c>
      <c r="B156" s="8">
        <v>46093</v>
      </c>
      <c r="C156" s="4" t="s">
        <v>220</v>
      </c>
      <c r="D156" s="4" t="s">
        <v>28</v>
      </c>
      <c r="E156" s="4" t="s">
        <v>71</v>
      </c>
      <c r="F156" s="3">
        <v>14</v>
      </c>
      <c r="G156" s="2" t="str">
        <f>_xlfn.XLOOKUP(tblOrder[[#This Row],[Produktkod]], tblProd[Produktkod], tblProd[Produktnamn])</f>
        <v>Montagesats MS-10</v>
      </c>
      <c r="H156" s="2">
        <f>_xlfn.XLOOKUP(tblOrder[[#This Row],[Produktkod]], tblProd[Produktkod], tblProd[Styckpris])</f>
        <v>1250</v>
      </c>
      <c r="I156" s="2">
        <f>_xlfn.XLOOKUP(tblOrder[[#This Row],[Produktkod]], tblProd[Produktkod], tblProd[Självkostnad/st])</f>
        <v>720</v>
      </c>
      <c r="J156" s="2" t="str">
        <f>_xlfn.XLOOKUP(tblOrder[[#This Row],[Kundkod]], tblKund[Kundkod], tblKund[Kund], "Okänd kund")</f>
        <v>Hydraul-Service AB</v>
      </c>
      <c r="K156" s="2">
        <f>tblOrder[[#This Row],[Antal]]*tblOrder[[#This Row],[Styckpris]]</f>
        <v>17500</v>
      </c>
      <c r="L156" s="14">
        <f>_xlfn.XLOOKUP(tblOrder[[#This Row],[Antal]], tblRabatt[Min antal], tblRabatt[Rabattsats], , -1)</f>
        <v>0</v>
      </c>
      <c r="M156" s="19">
        <f t="shared" si="2"/>
        <v>7420</v>
      </c>
    </row>
    <row r="157" spans="1:13" x14ac:dyDescent="0.25">
      <c r="A157" s="4" t="s">
        <v>249</v>
      </c>
      <c r="B157" s="8">
        <v>46093</v>
      </c>
      <c r="C157" s="4" t="s">
        <v>220</v>
      </c>
      <c r="D157" s="4" t="s">
        <v>28</v>
      </c>
      <c r="E157" s="4" t="s">
        <v>65</v>
      </c>
      <c r="F157" s="3">
        <v>106</v>
      </c>
      <c r="G157" s="2" t="str">
        <f>_xlfn.XLOOKUP(tblOrder[[#This Row],[Produktkod]], tblProd[Produktkod], tblProd[Produktnamn])</f>
        <v>Montagesats MS-10</v>
      </c>
      <c r="H157" s="2">
        <f>_xlfn.XLOOKUP(tblOrder[[#This Row],[Produktkod]], tblProd[Produktkod], tblProd[Styckpris])</f>
        <v>1250</v>
      </c>
      <c r="I157" s="2">
        <f>_xlfn.XLOOKUP(tblOrder[[#This Row],[Produktkod]], tblProd[Produktkod], tblProd[Självkostnad/st])</f>
        <v>720</v>
      </c>
      <c r="J157" s="2" t="str">
        <f>_xlfn.XLOOKUP(tblOrder[[#This Row],[Kundkod]], tblKund[Kundkod], tblKund[Kund], "Okänd kund")</f>
        <v>Wärtsilä</v>
      </c>
      <c r="K157" s="2">
        <f>tblOrder[[#This Row],[Antal]]*tblOrder[[#This Row],[Styckpris]]</f>
        <v>132500</v>
      </c>
      <c r="L157" s="14">
        <f>_xlfn.XLOOKUP(tblOrder[[#This Row],[Antal]], tblRabatt[Min antal], tblRabatt[Rabattsats], , -1)</f>
        <v>0.05</v>
      </c>
      <c r="M157" s="19">
        <f t="shared" si="2"/>
        <v>56180</v>
      </c>
    </row>
    <row r="158" spans="1:13" x14ac:dyDescent="0.25">
      <c r="A158" s="4" t="s">
        <v>250</v>
      </c>
      <c r="B158" s="8">
        <v>46094</v>
      </c>
      <c r="C158" s="4" t="s">
        <v>220</v>
      </c>
      <c r="D158" s="4" t="s">
        <v>38</v>
      </c>
      <c r="E158" s="4" t="s">
        <v>57</v>
      </c>
      <c r="F158" s="3">
        <v>18</v>
      </c>
      <c r="G158" s="2" t="str">
        <f>_xlfn.XLOOKUP(tblOrder[[#This Row],[Produktkod]], tblProd[Produktkod], tblProd[Produktnamn])</f>
        <v>Sensor S-45</v>
      </c>
      <c r="H158" s="2">
        <f>_xlfn.XLOOKUP(tblOrder[[#This Row],[Produktkod]], tblProd[Produktkod], tblProd[Styckpris])</f>
        <v>2100</v>
      </c>
      <c r="I158" s="2">
        <f>_xlfn.XLOOKUP(tblOrder[[#This Row],[Produktkod]], tblProd[Produktkod], tblProd[Självkostnad/st])</f>
        <v>1180</v>
      </c>
      <c r="J158" s="2" t="str">
        <f>_xlfn.XLOOKUP(tblOrder[[#This Row],[Kundkod]], tblKund[Kundkod], tblKund[Kund], "Okänd kund")</f>
        <v>Scania CV</v>
      </c>
      <c r="K158" s="2">
        <f>tblOrder[[#This Row],[Antal]]*tblOrder[[#This Row],[Styckpris]]</f>
        <v>37800</v>
      </c>
      <c r="L158" s="14">
        <f>_xlfn.XLOOKUP(tblOrder[[#This Row],[Antal]], tblRabatt[Min antal], tblRabatt[Rabattsats], , -1)</f>
        <v>0</v>
      </c>
      <c r="M158" s="19">
        <f t="shared" si="2"/>
        <v>16560</v>
      </c>
    </row>
    <row r="159" spans="1:13" x14ac:dyDescent="0.25">
      <c r="A159" s="4" t="s">
        <v>251</v>
      </c>
      <c r="B159" s="8">
        <v>46095</v>
      </c>
      <c r="C159" s="4" t="s">
        <v>220</v>
      </c>
      <c r="D159" s="4" t="s">
        <v>26</v>
      </c>
      <c r="E159" s="4" t="s">
        <v>71</v>
      </c>
      <c r="F159" s="3">
        <v>680</v>
      </c>
      <c r="G159" s="2" t="str">
        <f>_xlfn.XLOOKUP(tblOrder[[#This Row],[Produktkod]], tblProd[Produktkod], tblProd[Produktnamn])</f>
        <v>Ventilblock VB-30</v>
      </c>
      <c r="H159" s="2">
        <f>_xlfn.XLOOKUP(tblOrder[[#This Row],[Produktkod]], tblProd[Produktkod], tblProd[Styckpris])</f>
        <v>3200</v>
      </c>
      <c r="I159" s="2">
        <f>_xlfn.XLOOKUP(tblOrder[[#This Row],[Produktkod]], tblProd[Produktkod], tblProd[Självkostnad/st])</f>
        <v>1950</v>
      </c>
      <c r="J159" s="2" t="str">
        <f>_xlfn.XLOOKUP(tblOrder[[#This Row],[Kundkod]], tblKund[Kundkod], tblKund[Kund], "Okänd kund")</f>
        <v>Hydraul-Service AB</v>
      </c>
      <c r="K159" s="2">
        <f>tblOrder[[#This Row],[Antal]]*tblOrder[[#This Row],[Styckpris]]</f>
        <v>2176000</v>
      </c>
      <c r="L159" s="14">
        <f>_xlfn.XLOOKUP(tblOrder[[#This Row],[Antal]], tblRabatt[Min antal], tblRabatt[Rabattsats], , -1)</f>
        <v>0.12</v>
      </c>
      <c r="M159" s="19">
        <f t="shared" si="2"/>
        <v>850000</v>
      </c>
    </row>
    <row r="160" spans="1:13" x14ac:dyDescent="0.25">
      <c r="A160" s="4" t="s">
        <v>252</v>
      </c>
      <c r="B160" s="8">
        <v>46095</v>
      </c>
      <c r="C160" s="4" t="s">
        <v>220</v>
      </c>
      <c r="D160" s="4" t="s">
        <v>33</v>
      </c>
      <c r="E160" s="4" t="s">
        <v>57</v>
      </c>
      <c r="F160" s="3">
        <v>92</v>
      </c>
      <c r="G160" s="2" t="str">
        <f>_xlfn.XLOOKUP(tblOrder[[#This Row],[Produktkod]], tblProd[Produktkod], tblProd[Produktnamn])</f>
        <v>Skruvkit SK-100</v>
      </c>
      <c r="H160" s="2">
        <f>_xlfn.XLOOKUP(tblOrder[[#This Row],[Produktkod]], tblProd[Produktkod], tblProd[Styckpris])</f>
        <v>320</v>
      </c>
      <c r="I160" s="2">
        <f>_xlfn.XLOOKUP(tblOrder[[#This Row],[Produktkod]], tblProd[Produktkod], tblProd[Självkostnad/st])</f>
        <v>165</v>
      </c>
      <c r="J160" s="2" t="str">
        <f>_xlfn.XLOOKUP(tblOrder[[#This Row],[Kundkod]], tblKund[Kundkod], tblKund[Kund], "Okänd kund")</f>
        <v>Scania CV</v>
      </c>
      <c r="K160" s="2">
        <f>tblOrder[[#This Row],[Antal]]*tblOrder[[#This Row],[Styckpris]]</f>
        <v>29440</v>
      </c>
      <c r="L160" s="14">
        <f>_xlfn.XLOOKUP(tblOrder[[#This Row],[Antal]], tblRabatt[Min antal], tblRabatt[Rabattsats], , -1)</f>
        <v>0.03</v>
      </c>
      <c r="M160" s="19">
        <f t="shared" si="2"/>
        <v>14260</v>
      </c>
    </row>
    <row r="161" spans="1:13" x14ac:dyDescent="0.25">
      <c r="A161" s="4" t="s">
        <v>253</v>
      </c>
      <c r="B161" s="8">
        <v>46095</v>
      </c>
      <c r="C161" s="4" t="s">
        <v>220</v>
      </c>
      <c r="D161" s="4" t="s">
        <v>35</v>
      </c>
      <c r="E161" s="4" t="s">
        <v>71</v>
      </c>
      <c r="F161" s="3">
        <v>91</v>
      </c>
      <c r="G161" s="2" t="str">
        <f>_xlfn.XLOOKUP(tblOrder[[#This Row],[Produktkod]], tblProd[Produktkod], tblProd[Produktnamn])</f>
        <v>Styrenhet CU-X1</v>
      </c>
      <c r="H161" s="2">
        <f>_xlfn.XLOOKUP(tblOrder[[#This Row],[Produktkod]], tblProd[Produktkod], tblProd[Styckpris])</f>
        <v>12500</v>
      </c>
      <c r="I161" s="2">
        <f>_xlfn.XLOOKUP(tblOrder[[#This Row],[Produktkod]], tblProd[Produktkod], tblProd[Självkostnad/st])</f>
        <v>8200</v>
      </c>
      <c r="J161" s="2" t="str">
        <f>_xlfn.XLOOKUP(tblOrder[[#This Row],[Kundkod]], tblKund[Kundkod], tblKund[Kund], "Okänd kund")</f>
        <v>Hydraul-Service AB</v>
      </c>
      <c r="K161" s="2">
        <f>tblOrder[[#This Row],[Antal]]*tblOrder[[#This Row],[Styckpris]]</f>
        <v>1137500</v>
      </c>
      <c r="L161" s="14">
        <f>_xlfn.XLOOKUP(tblOrder[[#This Row],[Antal]], tblRabatt[Min antal], tblRabatt[Rabattsats], , -1)</f>
        <v>0.03</v>
      </c>
      <c r="M161" s="19">
        <f t="shared" si="2"/>
        <v>391300</v>
      </c>
    </row>
    <row r="162" spans="1:13" x14ac:dyDescent="0.25">
      <c r="A162" s="4" t="s">
        <v>254</v>
      </c>
      <c r="B162" s="8">
        <v>46095</v>
      </c>
      <c r="C162" s="4" t="s">
        <v>220</v>
      </c>
      <c r="D162" s="4" t="s">
        <v>28</v>
      </c>
      <c r="E162" s="4" t="s">
        <v>53</v>
      </c>
      <c r="F162" s="3">
        <v>95</v>
      </c>
      <c r="G162" s="2" t="str">
        <f>_xlfn.XLOOKUP(tblOrder[[#This Row],[Produktkod]], tblProd[Produktkod], tblProd[Produktnamn])</f>
        <v>Montagesats MS-10</v>
      </c>
      <c r="H162" s="2">
        <f>_xlfn.XLOOKUP(tblOrder[[#This Row],[Produktkod]], tblProd[Produktkod], tblProd[Styckpris])</f>
        <v>1250</v>
      </c>
      <c r="I162" s="2">
        <f>_xlfn.XLOOKUP(tblOrder[[#This Row],[Produktkod]], tblProd[Produktkod], tblProd[Självkostnad/st])</f>
        <v>720</v>
      </c>
      <c r="J162" s="2" t="str">
        <f>_xlfn.XLOOKUP(tblOrder[[#This Row],[Kundkod]], tblKund[Kundkod], tblKund[Kund], "Okänd kund")</f>
        <v>Volvo Lastvagnar</v>
      </c>
      <c r="K162" s="2">
        <f>tblOrder[[#This Row],[Antal]]*tblOrder[[#This Row],[Styckpris]]</f>
        <v>118750</v>
      </c>
      <c r="L162" s="14">
        <f>_xlfn.XLOOKUP(tblOrder[[#This Row],[Antal]], tblRabatt[Min antal], tblRabatt[Rabattsats], , -1)</f>
        <v>0.03</v>
      </c>
      <c r="M162" s="19">
        <f t="shared" si="2"/>
        <v>50350</v>
      </c>
    </row>
    <row r="163" spans="1:13" x14ac:dyDescent="0.25">
      <c r="A163" s="4" t="s">
        <v>255</v>
      </c>
      <c r="B163" s="8">
        <v>46096</v>
      </c>
      <c r="C163" s="4" t="s">
        <v>220</v>
      </c>
      <c r="D163" s="4" t="s">
        <v>31</v>
      </c>
      <c r="E163" s="4" t="s">
        <v>68</v>
      </c>
      <c r="F163" s="3">
        <v>16</v>
      </c>
      <c r="G163" s="2" t="str">
        <f>_xlfn.XLOOKUP(tblOrder[[#This Row],[Produktkod]], tblProd[Produktkod], tblProd[Produktnamn])</f>
        <v>Fästplatta FP-A4</v>
      </c>
      <c r="H163" s="2">
        <f>_xlfn.XLOOKUP(tblOrder[[#This Row],[Produktkod]], tblProd[Produktkod], tblProd[Styckpris])</f>
        <v>480</v>
      </c>
      <c r="I163" s="2">
        <f>_xlfn.XLOOKUP(tblOrder[[#This Row],[Produktkod]], tblProd[Produktkod], tblProd[Självkostnad/st])</f>
        <v>260</v>
      </c>
      <c r="J163" s="2" t="str">
        <f>_xlfn.XLOOKUP(tblOrder[[#This Row],[Kundkod]], tblKund[Kundkod], tblKund[Kund], "Okänd kund")</f>
        <v>Bosch Rexroth</v>
      </c>
      <c r="K163" s="2">
        <f>tblOrder[[#This Row],[Antal]]*tblOrder[[#This Row],[Styckpris]]</f>
        <v>7680</v>
      </c>
      <c r="L163" s="14">
        <f>_xlfn.XLOOKUP(tblOrder[[#This Row],[Antal]], tblRabatt[Min antal], tblRabatt[Rabattsats], , -1)</f>
        <v>0</v>
      </c>
      <c r="M163" s="19">
        <f t="shared" si="2"/>
        <v>3520</v>
      </c>
    </row>
    <row r="164" spans="1:13" x14ac:dyDescent="0.25">
      <c r="A164" s="4" t="s">
        <v>256</v>
      </c>
      <c r="B164" s="8">
        <v>46098</v>
      </c>
      <c r="C164" s="4" t="s">
        <v>220</v>
      </c>
      <c r="D164" s="4" t="s">
        <v>40</v>
      </c>
      <c r="E164" s="4" t="s">
        <v>74</v>
      </c>
      <c r="F164" s="3">
        <v>104</v>
      </c>
      <c r="G164" s="2" t="str">
        <f>_xlfn.XLOOKUP(tblOrder[[#This Row],[Produktkod]], tblProd[Produktkod], tblProd[Produktnamn])</f>
        <v>Kabelhärva KH-7</v>
      </c>
      <c r="H164" s="2">
        <f>_xlfn.XLOOKUP(tblOrder[[#This Row],[Produktkod]], tblProd[Produktkod], tblProd[Styckpris])</f>
        <v>890</v>
      </c>
      <c r="I164" s="2">
        <f>_xlfn.XLOOKUP(tblOrder[[#This Row],[Produktkod]], tblProd[Produktkod], tblProd[Självkostnad/st])</f>
        <v>510</v>
      </c>
      <c r="J164" s="2" t="str">
        <f>_xlfn.XLOOKUP(tblOrder[[#This Row],[Kundkod]], tblKund[Kundkod], tblKund[Kund], "Okänd kund")</f>
        <v>Nordic Parts AS</v>
      </c>
      <c r="K164" s="2">
        <f>tblOrder[[#This Row],[Antal]]*tblOrder[[#This Row],[Styckpris]]</f>
        <v>92560</v>
      </c>
      <c r="L164" s="14">
        <f>_xlfn.XLOOKUP(tblOrder[[#This Row],[Antal]], tblRabatt[Min antal], tblRabatt[Rabattsats], , -1)</f>
        <v>0.05</v>
      </c>
      <c r="M164" s="19">
        <f t="shared" si="2"/>
        <v>39520</v>
      </c>
    </row>
    <row r="165" spans="1:13" x14ac:dyDescent="0.25">
      <c r="A165" s="4" t="s">
        <v>257</v>
      </c>
      <c r="B165" s="8">
        <v>46099</v>
      </c>
      <c r="C165" s="4" t="s">
        <v>220</v>
      </c>
      <c r="D165" s="4" t="s">
        <v>47</v>
      </c>
      <c r="E165" s="4" t="s">
        <v>71</v>
      </c>
      <c r="F165" s="3">
        <v>15</v>
      </c>
      <c r="G165" s="2" t="str">
        <f>_xlfn.XLOOKUP(tblOrder[[#This Row],[Produktkod]], tblProd[Produktkod], tblProd[Produktnamn])</f>
        <v>Packningssats PS-3</v>
      </c>
      <c r="H165" s="2">
        <f>_xlfn.XLOOKUP(tblOrder[[#This Row],[Produktkod]], tblProd[Produktkod], tblProd[Styckpris])</f>
        <v>145</v>
      </c>
      <c r="I165" s="2">
        <f>_xlfn.XLOOKUP(tblOrder[[#This Row],[Produktkod]], tblProd[Produktkod], tblProd[Självkostnad/st])</f>
        <v>68</v>
      </c>
      <c r="J165" s="2" t="str">
        <f>_xlfn.XLOOKUP(tblOrder[[#This Row],[Kundkod]], tblKund[Kundkod], tblKund[Kund], "Okänd kund")</f>
        <v>Hydraul-Service AB</v>
      </c>
      <c r="K165" s="2">
        <f>tblOrder[[#This Row],[Antal]]*tblOrder[[#This Row],[Styckpris]]</f>
        <v>2175</v>
      </c>
      <c r="L165" s="14">
        <f>_xlfn.XLOOKUP(tblOrder[[#This Row],[Antal]], tblRabatt[Min antal], tblRabatt[Rabattsats], , -1)</f>
        <v>0</v>
      </c>
      <c r="M165" s="19">
        <f t="shared" si="2"/>
        <v>1155</v>
      </c>
    </row>
    <row r="166" spans="1:13" x14ac:dyDescent="0.25">
      <c r="A166" s="4" t="s">
        <v>258</v>
      </c>
      <c r="B166" s="8">
        <v>46100</v>
      </c>
      <c r="C166" s="4" t="s">
        <v>220</v>
      </c>
      <c r="D166" s="4" t="s">
        <v>47</v>
      </c>
      <c r="E166" s="4" t="s">
        <v>65</v>
      </c>
      <c r="F166" s="3">
        <v>11</v>
      </c>
      <c r="G166" s="2" t="str">
        <f>_xlfn.XLOOKUP(tblOrder[[#This Row],[Produktkod]], tblProd[Produktkod], tblProd[Produktnamn])</f>
        <v>Packningssats PS-3</v>
      </c>
      <c r="H166" s="2">
        <f>_xlfn.XLOOKUP(tblOrder[[#This Row],[Produktkod]], tblProd[Produktkod], tblProd[Styckpris])</f>
        <v>145</v>
      </c>
      <c r="I166" s="2">
        <f>_xlfn.XLOOKUP(tblOrder[[#This Row],[Produktkod]], tblProd[Produktkod], tblProd[Självkostnad/st])</f>
        <v>68</v>
      </c>
      <c r="J166" s="2" t="str">
        <f>_xlfn.XLOOKUP(tblOrder[[#This Row],[Kundkod]], tblKund[Kundkod], tblKund[Kund], "Okänd kund")</f>
        <v>Wärtsilä</v>
      </c>
      <c r="K166" s="2">
        <f>tblOrder[[#This Row],[Antal]]*tblOrder[[#This Row],[Styckpris]]</f>
        <v>1595</v>
      </c>
      <c r="L166" s="14">
        <f>_xlfn.XLOOKUP(tblOrder[[#This Row],[Antal]], tblRabatt[Min antal], tblRabatt[Rabattsats], , -1)</f>
        <v>0</v>
      </c>
      <c r="M166" s="19">
        <f t="shared" si="2"/>
        <v>847</v>
      </c>
    </row>
    <row r="167" spans="1:13" x14ac:dyDescent="0.25">
      <c r="A167" s="4" t="s">
        <v>259</v>
      </c>
      <c r="B167" s="8">
        <v>46100</v>
      </c>
      <c r="C167" s="4" t="s">
        <v>220</v>
      </c>
      <c r="D167" s="4" t="s">
        <v>24</v>
      </c>
      <c r="E167" s="4" t="s">
        <v>71</v>
      </c>
      <c r="F167" s="3">
        <v>246</v>
      </c>
      <c r="G167" s="2" t="str">
        <f>_xlfn.XLOOKUP(tblOrder[[#This Row],[Produktkod]], tblProd[Produktkod], tblProd[Produktnamn])</f>
        <v>Hydraulpump HP-200</v>
      </c>
      <c r="H167" s="2">
        <f>_xlfn.XLOOKUP(tblOrder[[#This Row],[Produktkod]], tblProd[Produktkod], tblProd[Styckpris])</f>
        <v>8900</v>
      </c>
      <c r="I167" s="2">
        <f>_xlfn.XLOOKUP(tblOrder[[#This Row],[Produktkod]], tblProd[Produktkod], tblProd[Självkostnad/st])</f>
        <v>5600</v>
      </c>
      <c r="J167" s="2" t="str">
        <f>_xlfn.XLOOKUP(tblOrder[[#This Row],[Kundkod]], tblKund[Kundkod], tblKund[Kund], "Okänd kund")</f>
        <v>Hydraul-Service AB</v>
      </c>
      <c r="K167" s="2">
        <f>tblOrder[[#This Row],[Antal]]*tblOrder[[#This Row],[Styckpris]]</f>
        <v>2189400</v>
      </c>
      <c r="L167" s="14">
        <f>_xlfn.XLOOKUP(tblOrder[[#This Row],[Antal]], tblRabatt[Min antal], tblRabatt[Rabattsats], , -1)</f>
        <v>0.05</v>
      </c>
      <c r="M167" s="19">
        <f t="shared" si="2"/>
        <v>811800</v>
      </c>
    </row>
    <row r="168" spans="1:13" x14ac:dyDescent="0.25">
      <c r="A168" s="4" t="s">
        <v>260</v>
      </c>
      <c r="B168" s="8">
        <v>46101</v>
      </c>
      <c r="C168" s="4" t="s">
        <v>220</v>
      </c>
      <c r="D168" s="4" t="s">
        <v>21</v>
      </c>
      <c r="E168" s="4" t="s">
        <v>62</v>
      </c>
      <c r="F168" s="3">
        <v>355</v>
      </c>
      <c r="G168" s="2" t="str">
        <f>_xlfn.XLOOKUP(tblOrder[[#This Row],[Produktkod]], tblProd[Produktkod], tblProd[Produktnamn])</f>
        <v>Hydraulcylinder HC-50</v>
      </c>
      <c r="H168" s="2">
        <f>_xlfn.XLOOKUP(tblOrder[[#This Row],[Produktkod]], tblProd[Produktkod], tblProd[Styckpris])</f>
        <v>4500</v>
      </c>
      <c r="I168" s="2">
        <f>_xlfn.XLOOKUP(tblOrder[[#This Row],[Produktkod]], tblProd[Produktkod], tblProd[Självkostnad/st])</f>
        <v>2800</v>
      </c>
      <c r="J168" s="2" t="str">
        <f>_xlfn.XLOOKUP(tblOrder[[#This Row],[Kundkod]], tblKund[Kundkod], tblKund[Kund], "Okänd kund")</f>
        <v>Danfoss A/S</v>
      </c>
      <c r="K168" s="2">
        <f>tblOrder[[#This Row],[Antal]]*tblOrder[[#This Row],[Styckpris]]</f>
        <v>1597500</v>
      </c>
      <c r="L168" s="14">
        <f>_xlfn.XLOOKUP(tblOrder[[#This Row],[Antal]], tblRabatt[Min antal], tblRabatt[Rabattsats], , -1)</f>
        <v>0.08</v>
      </c>
      <c r="M168" s="19">
        <f t="shared" si="2"/>
        <v>603500</v>
      </c>
    </row>
    <row r="169" spans="1:13" x14ac:dyDescent="0.25">
      <c r="A169" s="4" t="s">
        <v>261</v>
      </c>
      <c r="B169" s="8">
        <v>46102</v>
      </c>
      <c r="C169" s="4" t="s">
        <v>220</v>
      </c>
      <c r="D169" s="4" t="s">
        <v>35</v>
      </c>
      <c r="E169" s="4" t="s">
        <v>65</v>
      </c>
      <c r="F169" s="3">
        <v>82</v>
      </c>
      <c r="G169" s="2" t="str">
        <f>_xlfn.XLOOKUP(tblOrder[[#This Row],[Produktkod]], tblProd[Produktkod], tblProd[Produktnamn])</f>
        <v>Styrenhet CU-X1</v>
      </c>
      <c r="H169" s="2">
        <f>_xlfn.XLOOKUP(tblOrder[[#This Row],[Produktkod]], tblProd[Produktkod], tblProd[Styckpris])</f>
        <v>12500</v>
      </c>
      <c r="I169" s="2">
        <f>_xlfn.XLOOKUP(tblOrder[[#This Row],[Produktkod]], tblProd[Produktkod], tblProd[Självkostnad/st])</f>
        <v>8200</v>
      </c>
      <c r="J169" s="2" t="str">
        <f>_xlfn.XLOOKUP(tblOrder[[#This Row],[Kundkod]], tblKund[Kundkod], tblKund[Kund], "Okänd kund")</f>
        <v>Wärtsilä</v>
      </c>
      <c r="K169" s="2">
        <f>tblOrder[[#This Row],[Antal]]*tblOrder[[#This Row],[Styckpris]]</f>
        <v>1025000</v>
      </c>
      <c r="L169" s="14">
        <f>_xlfn.XLOOKUP(tblOrder[[#This Row],[Antal]], tblRabatt[Min antal], tblRabatt[Rabattsats], , -1)</f>
        <v>0.03</v>
      </c>
      <c r="M169" s="19">
        <f t="shared" si="2"/>
        <v>352600</v>
      </c>
    </row>
    <row r="170" spans="1:13" x14ac:dyDescent="0.25">
      <c r="A170" s="4" t="s">
        <v>262</v>
      </c>
      <c r="B170" s="8">
        <v>46102</v>
      </c>
      <c r="C170" s="4" t="s">
        <v>220</v>
      </c>
      <c r="D170" s="4" t="s">
        <v>24</v>
      </c>
      <c r="E170" s="4" t="s">
        <v>71</v>
      </c>
      <c r="F170" s="3">
        <v>249</v>
      </c>
      <c r="G170" s="2" t="str">
        <f>_xlfn.XLOOKUP(tblOrder[[#This Row],[Produktkod]], tblProd[Produktkod], tblProd[Produktnamn])</f>
        <v>Hydraulpump HP-200</v>
      </c>
      <c r="H170" s="2">
        <f>_xlfn.XLOOKUP(tblOrder[[#This Row],[Produktkod]], tblProd[Produktkod], tblProd[Styckpris])</f>
        <v>8900</v>
      </c>
      <c r="I170" s="2">
        <f>_xlfn.XLOOKUP(tblOrder[[#This Row],[Produktkod]], tblProd[Produktkod], tblProd[Självkostnad/st])</f>
        <v>5600</v>
      </c>
      <c r="J170" s="2" t="str">
        <f>_xlfn.XLOOKUP(tblOrder[[#This Row],[Kundkod]], tblKund[Kundkod], tblKund[Kund], "Okänd kund")</f>
        <v>Hydraul-Service AB</v>
      </c>
      <c r="K170" s="2">
        <f>tblOrder[[#This Row],[Antal]]*tblOrder[[#This Row],[Styckpris]]</f>
        <v>2216100</v>
      </c>
      <c r="L170" s="14">
        <f>_xlfn.XLOOKUP(tblOrder[[#This Row],[Antal]], tblRabatt[Min antal], tblRabatt[Rabattsats], , -1)</f>
        <v>0.05</v>
      </c>
      <c r="M170" s="19">
        <f t="shared" si="2"/>
        <v>821700</v>
      </c>
    </row>
    <row r="171" spans="1:13" x14ac:dyDescent="0.25">
      <c r="A171" s="4" t="s">
        <v>263</v>
      </c>
      <c r="B171" s="8">
        <v>46103</v>
      </c>
      <c r="C171" s="4" t="s">
        <v>220</v>
      </c>
      <c r="D171" s="4" t="s">
        <v>28</v>
      </c>
      <c r="E171" s="4" t="s">
        <v>62</v>
      </c>
      <c r="F171" s="3">
        <v>37</v>
      </c>
      <c r="G171" s="2" t="str">
        <f>_xlfn.XLOOKUP(tblOrder[[#This Row],[Produktkod]], tblProd[Produktkod], tblProd[Produktnamn])</f>
        <v>Montagesats MS-10</v>
      </c>
      <c r="H171" s="2">
        <f>_xlfn.XLOOKUP(tblOrder[[#This Row],[Produktkod]], tblProd[Produktkod], tblProd[Styckpris])</f>
        <v>1250</v>
      </c>
      <c r="I171" s="2">
        <f>_xlfn.XLOOKUP(tblOrder[[#This Row],[Produktkod]], tblProd[Produktkod], tblProd[Självkostnad/st])</f>
        <v>720</v>
      </c>
      <c r="J171" s="2" t="str">
        <f>_xlfn.XLOOKUP(tblOrder[[#This Row],[Kundkod]], tblKund[Kundkod], tblKund[Kund], "Okänd kund")</f>
        <v>Danfoss A/S</v>
      </c>
      <c r="K171" s="2">
        <f>tblOrder[[#This Row],[Antal]]*tblOrder[[#This Row],[Styckpris]]</f>
        <v>46250</v>
      </c>
      <c r="L171" s="14">
        <f>_xlfn.XLOOKUP(tblOrder[[#This Row],[Antal]], tblRabatt[Min antal], tblRabatt[Rabattsats], , -1)</f>
        <v>0</v>
      </c>
      <c r="M171" s="19">
        <f t="shared" si="2"/>
        <v>19610</v>
      </c>
    </row>
    <row r="172" spans="1:13" x14ac:dyDescent="0.25">
      <c r="A172" s="4" t="s">
        <v>264</v>
      </c>
      <c r="B172" s="8">
        <v>46104</v>
      </c>
      <c r="C172" s="4" t="s">
        <v>220</v>
      </c>
      <c r="D172" s="4" t="s">
        <v>45</v>
      </c>
      <c r="E172" s="4" t="s">
        <v>57</v>
      </c>
      <c r="F172" s="3">
        <v>71</v>
      </c>
      <c r="G172" s="2" t="str">
        <f>_xlfn.XLOOKUP(tblOrder[[#This Row],[Produktkod]], tblProd[Produktkod], tblProd[Produktnamn])</f>
        <v>Tätningskit TK-9</v>
      </c>
      <c r="H172" s="2">
        <f>_xlfn.XLOOKUP(tblOrder[[#This Row],[Produktkod]], tblProd[Produktkod], tblProd[Styckpris])</f>
        <v>210</v>
      </c>
      <c r="I172" s="2">
        <f>_xlfn.XLOOKUP(tblOrder[[#This Row],[Produktkod]], tblProd[Produktkod], tblProd[Självkostnad/st])</f>
        <v>95</v>
      </c>
      <c r="J172" s="2" t="str">
        <f>_xlfn.XLOOKUP(tblOrder[[#This Row],[Kundkod]], tblKund[Kundkod], tblKund[Kund], "Okänd kund")</f>
        <v>Scania CV</v>
      </c>
      <c r="K172" s="2">
        <f>tblOrder[[#This Row],[Antal]]*tblOrder[[#This Row],[Styckpris]]</f>
        <v>14910</v>
      </c>
      <c r="L172" s="14">
        <f>_xlfn.XLOOKUP(tblOrder[[#This Row],[Antal]], tblRabatt[Min antal], tblRabatt[Rabattsats], , -1)</f>
        <v>0.03</v>
      </c>
      <c r="M172" s="19">
        <f t="shared" si="2"/>
        <v>8165</v>
      </c>
    </row>
    <row r="173" spans="1:13" x14ac:dyDescent="0.25">
      <c r="A173" s="4" t="s">
        <v>265</v>
      </c>
      <c r="B173" s="8">
        <v>46105</v>
      </c>
      <c r="C173" s="4" t="s">
        <v>220</v>
      </c>
      <c r="D173" s="4" t="s">
        <v>45</v>
      </c>
      <c r="E173" s="4" t="s">
        <v>132</v>
      </c>
      <c r="F173" s="3">
        <v>64</v>
      </c>
      <c r="G173" s="2" t="str">
        <f>_xlfn.XLOOKUP(tblOrder[[#This Row],[Produktkod]], tblProd[Produktkod], tblProd[Produktnamn])</f>
        <v>Tätningskit TK-9</v>
      </c>
      <c r="H173" s="2">
        <f>_xlfn.XLOOKUP(tblOrder[[#This Row],[Produktkod]], tblProd[Produktkod], tblProd[Styckpris])</f>
        <v>210</v>
      </c>
      <c r="I173" s="2">
        <f>_xlfn.XLOOKUP(tblOrder[[#This Row],[Produktkod]], tblProd[Produktkod], tblProd[Självkostnad/st])</f>
        <v>95</v>
      </c>
      <c r="J173" s="2" t="str">
        <f>_xlfn.XLOOKUP(tblOrder[[#This Row],[Kundkod]], tblKund[Kundkod], tblKund[Kund], "Okänd kund")</f>
        <v>Okänd kund</v>
      </c>
      <c r="K173" s="2">
        <f>tblOrder[[#This Row],[Antal]]*tblOrder[[#This Row],[Styckpris]]</f>
        <v>13440</v>
      </c>
      <c r="L173" s="14">
        <f>_xlfn.XLOOKUP(tblOrder[[#This Row],[Antal]], tblRabatt[Min antal], tblRabatt[Rabattsats], , -1)</f>
        <v>0.03</v>
      </c>
      <c r="M173" s="19">
        <f t="shared" si="2"/>
        <v>7360</v>
      </c>
    </row>
    <row r="174" spans="1:13" x14ac:dyDescent="0.25">
      <c r="A174" s="4" t="s">
        <v>266</v>
      </c>
      <c r="B174" s="8">
        <v>46105</v>
      </c>
      <c r="C174" s="4" t="s">
        <v>220</v>
      </c>
      <c r="D174" s="4" t="s">
        <v>33</v>
      </c>
      <c r="E174" s="4" t="s">
        <v>74</v>
      </c>
      <c r="F174" s="3">
        <v>24</v>
      </c>
      <c r="G174" s="2" t="str">
        <f>_xlfn.XLOOKUP(tblOrder[[#This Row],[Produktkod]], tblProd[Produktkod], tblProd[Produktnamn])</f>
        <v>Skruvkit SK-100</v>
      </c>
      <c r="H174" s="2">
        <f>_xlfn.XLOOKUP(tblOrder[[#This Row],[Produktkod]], tblProd[Produktkod], tblProd[Styckpris])</f>
        <v>320</v>
      </c>
      <c r="I174" s="2">
        <f>_xlfn.XLOOKUP(tblOrder[[#This Row],[Produktkod]], tblProd[Produktkod], tblProd[Självkostnad/st])</f>
        <v>165</v>
      </c>
      <c r="J174" s="2" t="str">
        <f>_xlfn.XLOOKUP(tblOrder[[#This Row],[Kundkod]], tblKund[Kundkod], tblKund[Kund], "Okänd kund")</f>
        <v>Nordic Parts AS</v>
      </c>
      <c r="K174" s="2">
        <f>tblOrder[[#This Row],[Antal]]*tblOrder[[#This Row],[Styckpris]]</f>
        <v>7680</v>
      </c>
      <c r="L174" s="14">
        <f>_xlfn.XLOOKUP(tblOrder[[#This Row],[Antal]], tblRabatt[Min antal], tblRabatt[Rabattsats], , -1)</f>
        <v>0</v>
      </c>
      <c r="M174" s="19">
        <f t="shared" si="2"/>
        <v>3720</v>
      </c>
    </row>
    <row r="175" spans="1:13" x14ac:dyDescent="0.25">
      <c r="A175" s="4" t="s">
        <v>267</v>
      </c>
      <c r="B175" s="8">
        <v>46106</v>
      </c>
      <c r="C175" s="4" t="s">
        <v>220</v>
      </c>
      <c r="D175" s="4" t="s">
        <v>24</v>
      </c>
      <c r="E175" s="4" t="s">
        <v>59</v>
      </c>
      <c r="F175" s="3">
        <v>233</v>
      </c>
      <c r="G175" s="2" t="str">
        <f>_xlfn.XLOOKUP(tblOrder[[#This Row],[Produktkod]], tblProd[Produktkod], tblProd[Produktnamn])</f>
        <v>Hydraulpump HP-200</v>
      </c>
      <c r="H175" s="2">
        <f>_xlfn.XLOOKUP(tblOrder[[#This Row],[Produktkod]], tblProd[Produktkod], tblProd[Styckpris])</f>
        <v>8900</v>
      </c>
      <c r="I175" s="2">
        <f>_xlfn.XLOOKUP(tblOrder[[#This Row],[Produktkod]], tblProd[Produktkod], tblProd[Självkostnad/st])</f>
        <v>5600</v>
      </c>
      <c r="J175" s="2" t="str">
        <f>_xlfn.XLOOKUP(tblOrder[[#This Row],[Kundkod]], tblKund[Kundkod], tblKund[Kund], "Okänd kund")</f>
        <v>Kongsberg Automotive</v>
      </c>
      <c r="K175" s="2">
        <f>tblOrder[[#This Row],[Antal]]*tblOrder[[#This Row],[Styckpris]]</f>
        <v>2073700</v>
      </c>
      <c r="L175" s="14">
        <f>_xlfn.XLOOKUP(tblOrder[[#This Row],[Antal]], tblRabatt[Min antal], tblRabatt[Rabattsats], , -1)</f>
        <v>0.05</v>
      </c>
      <c r="M175" s="19">
        <f t="shared" si="2"/>
        <v>768900</v>
      </c>
    </row>
    <row r="176" spans="1:13" x14ac:dyDescent="0.25">
      <c r="A176" s="4" t="s">
        <v>268</v>
      </c>
      <c r="B176" s="8">
        <v>46106</v>
      </c>
      <c r="C176" s="4" t="s">
        <v>220</v>
      </c>
      <c r="D176" s="4" t="s">
        <v>21</v>
      </c>
      <c r="E176" s="4" t="s">
        <v>62</v>
      </c>
      <c r="F176" s="3">
        <v>76</v>
      </c>
      <c r="G176" s="2" t="str">
        <f>_xlfn.XLOOKUP(tblOrder[[#This Row],[Produktkod]], tblProd[Produktkod], tblProd[Produktnamn])</f>
        <v>Hydraulcylinder HC-50</v>
      </c>
      <c r="H176" s="2">
        <f>_xlfn.XLOOKUP(tblOrder[[#This Row],[Produktkod]], tblProd[Produktkod], tblProd[Styckpris])</f>
        <v>4500</v>
      </c>
      <c r="I176" s="2">
        <f>_xlfn.XLOOKUP(tblOrder[[#This Row],[Produktkod]], tblProd[Produktkod], tblProd[Självkostnad/st])</f>
        <v>2800</v>
      </c>
      <c r="J176" s="2" t="str">
        <f>_xlfn.XLOOKUP(tblOrder[[#This Row],[Kundkod]], tblKund[Kundkod], tblKund[Kund], "Okänd kund")</f>
        <v>Danfoss A/S</v>
      </c>
      <c r="K176" s="2">
        <f>tblOrder[[#This Row],[Antal]]*tblOrder[[#This Row],[Styckpris]]</f>
        <v>342000</v>
      </c>
      <c r="L176" s="14">
        <f>_xlfn.XLOOKUP(tblOrder[[#This Row],[Antal]], tblRabatt[Min antal], tblRabatt[Rabattsats], , -1)</f>
        <v>0.03</v>
      </c>
      <c r="M176" s="19">
        <f t="shared" si="2"/>
        <v>129200</v>
      </c>
    </row>
    <row r="177" spans="1:13" x14ac:dyDescent="0.25">
      <c r="A177" s="4" t="s">
        <v>269</v>
      </c>
      <c r="B177" s="8">
        <v>46106</v>
      </c>
      <c r="C177" s="4" t="s">
        <v>220</v>
      </c>
      <c r="D177" s="4" t="s">
        <v>33</v>
      </c>
      <c r="E177" s="4" t="s">
        <v>68</v>
      </c>
      <c r="F177" s="3">
        <v>221</v>
      </c>
      <c r="G177" s="2" t="str">
        <f>_xlfn.XLOOKUP(tblOrder[[#This Row],[Produktkod]], tblProd[Produktkod], tblProd[Produktnamn])</f>
        <v>Skruvkit SK-100</v>
      </c>
      <c r="H177" s="2">
        <f>_xlfn.XLOOKUP(tblOrder[[#This Row],[Produktkod]], tblProd[Produktkod], tblProd[Styckpris])</f>
        <v>320</v>
      </c>
      <c r="I177" s="2">
        <f>_xlfn.XLOOKUP(tblOrder[[#This Row],[Produktkod]], tblProd[Produktkod], tblProd[Självkostnad/st])</f>
        <v>165</v>
      </c>
      <c r="J177" s="2" t="str">
        <f>_xlfn.XLOOKUP(tblOrder[[#This Row],[Kundkod]], tblKund[Kundkod], tblKund[Kund], "Okänd kund")</f>
        <v>Bosch Rexroth</v>
      </c>
      <c r="K177" s="2">
        <f>tblOrder[[#This Row],[Antal]]*tblOrder[[#This Row],[Styckpris]]</f>
        <v>70720</v>
      </c>
      <c r="L177" s="14">
        <f>_xlfn.XLOOKUP(tblOrder[[#This Row],[Antal]], tblRabatt[Min antal], tblRabatt[Rabattsats], , -1)</f>
        <v>0.05</v>
      </c>
      <c r="M177" s="19">
        <f t="shared" si="2"/>
        <v>34255</v>
      </c>
    </row>
    <row r="178" spans="1:13" x14ac:dyDescent="0.25">
      <c r="A178" s="4" t="s">
        <v>270</v>
      </c>
      <c r="B178" s="8">
        <v>46108</v>
      </c>
      <c r="C178" s="4" t="s">
        <v>220</v>
      </c>
      <c r="D178" s="4" t="s">
        <v>21</v>
      </c>
      <c r="E178" s="4" t="s">
        <v>132</v>
      </c>
      <c r="F178" s="3">
        <v>178</v>
      </c>
      <c r="G178" s="2" t="str">
        <f>_xlfn.XLOOKUP(tblOrder[[#This Row],[Produktkod]], tblProd[Produktkod], tblProd[Produktnamn])</f>
        <v>Hydraulcylinder HC-50</v>
      </c>
      <c r="H178" s="2">
        <f>_xlfn.XLOOKUP(tblOrder[[#This Row],[Produktkod]], tblProd[Produktkod], tblProd[Styckpris])</f>
        <v>4500</v>
      </c>
      <c r="I178" s="2">
        <f>_xlfn.XLOOKUP(tblOrder[[#This Row],[Produktkod]], tblProd[Produktkod], tblProd[Självkostnad/st])</f>
        <v>2800</v>
      </c>
      <c r="J178" s="2" t="str">
        <f>_xlfn.XLOOKUP(tblOrder[[#This Row],[Kundkod]], tblKund[Kundkod], tblKund[Kund], "Okänd kund")</f>
        <v>Okänd kund</v>
      </c>
      <c r="K178" s="2">
        <f>tblOrder[[#This Row],[Antal]]*tblOrder[[#This Row],[Styckpris]]</f>
        <v>801000</v>
      </c>
      <c r="L178" s="14">
        <f>_xlfn.XLOOKUP(tblOrder[[#This Row],[Antal]], tblRabatt[Min antal], tblRabatt[Rabattsats], , -1)</f>
        <v>0.05</v>
      </c>
      <c r="M178" s="19">
        <f t="shared" si="2"/>
        <v>302600</v>
      </c>
    </row>
    <row r="179" spans="1:13" x14ac:dyDescent="0.25">
      <c r="A179" s="4" t="s">
        <v>271</v>
      </c>
      <c r="B179" s="8">
        <v>46108</v>
      </c>
      <c r="C179" s="4" t="s">
        <v>220</v>
      </c>
      <c r="D179" s="4" t="s">
        <v>24</v>
      </c>
      <c r="E179" s="4" t="s">
        <v>62</v>
      </c>
      <c r="F179" s="3">
        <v>14</v>
      </c>
      <c r="G179" s="2" t="str">
        <f>_xlfn.XLOOKUP(tblOrder[[#This Row],[Produktkod]], tblProd[Produktkod], tblProd[Produktnamn])</f>
        <v>Hydraulpump HP-200</v>
      </c>
      <c r="H179" s="2">
        <f>_xlfn.XLOOKUP(tblOrder[[#This Row],[Produktkod]], tblProd[Produktkod], tblProd[Styckpris])</f>
        <v>8900</v>
      </c>
      <c r="I179" s="2">
        <f>_xlfn.XLOOKUP(tblOrder[[#This Row],[Produktkod]], tblProd[Produktkod], tblProd[Självkostnad/st])</f>
        <v>5600</v>
      </c>
      <c r="J179" s="2" t="str">
        <f>_xlfn.XLOOKUP(tblOrder[[#This Row],[Kundkod]], tblKund[Kundkod], tblKund[Kund], "Okänd kund")</f>
        <v>Danfoss A/S</v>
      </c>
      <c r="K179" s="2">
        <f>tblOrder[[#This Row],[Antal]]*tblOrder[[#This Row],[Styckpris]]</f>
        <v>124600</v>
      </c>
      <c r="L179" s="14">
        <f>_xlfn.XLOOKUP(tblOrder[[#This Row],[Antal]], tblRabatt[Min antal], tblRabatt[Rabattsats], , -1)</f>
        <v>0</v>
      </c>
      <c r="M179" s="19">
        <f t="shared" si="2"/>
        <v>46200</v>
      </c>
    </row>
    <row r="180" spans="1:13" x14ac:dyDescent="0.25">
      <c r="A180" s="4" t="s">
        <v>272</v>
      </c>
      <c r="B180" s="8">
        <v>46108</v>
      </c>
      <c r="C180" s="4" t="s">
        <v>220</v>
      </c>
      <c r="D180" s="4" t="s">
        <v>40</v>
      </c>
      <c r="E180" s="4" t="s">
        <v>65</v>
      </c>
      <c r="F180" s="3">
        <v>69</v>
      </c>
      <c r="G180" s="2" t="str">
        <f>_xlfn.XLOOKUP(tblOrder[[#This Row],[Produktkod]], tblProd[Produktkod], tblProd[Produktnamn])</f>
        <v>Kabelhärva KH-7</v>
      </c>
      <c r="H180" s="2">
        <f>_xlfn.XLOOKUP(tblOrder[[#This Row],[Produktkod]], tblProd[Produktkod], tblProd[Styckpris])</f>
        <v>890</v>
      </c>
      <c r="I180" s="2">
        <f>_xlfn.XLOOKUP(tblOrder[[#This Row],[Produktkod]], tblProd[Produktkod], tblProd[Självkostnad/st])</f>
        <v>510</v>
      </c>
      <c r="J180" s="2" t="str">
        <f>_xlfn.XLOOKUP(tblOrder[[#This Row],[Kundkod]], tblKund[Kundkod], tblKund[Kund], "Okänd kund")</f>
        <v>Wärtsilä</v>
      </c>
      <c r="K180" s="2">
        <f>tblOrder[[#This Row],[Antal]]*tblOrder[[#This Row],[Styckpris]]</f>
        <v>61410</v>
      </c>
      <c r="L180" s="14">
        <f>_xlfn.XLOOKUP(tblOrder[[#This Row],[Antal]], tblRabatt[Min antal], tblRabatt[Rabattsats], , -1)</f>
        <v>0.03</v>
      </c>
      <c r="M180" s="19">
        <f t="shared" si="2"/>
        <v>26220</v>
      </c>
    </row>
    <row r="181" spans="1:13" x14ac:dyDescent="0.25">
      <c r="A181" s="4" t="s">
        <v>273</v>
      </c>
      <c r="B181" s="8">
        <v>46108</v>
      </c>
      <c r="C181" s="4" t="s">
        <v>220</v>
      </c>
      <c r="D181" s="4" t="s">
        <v>38</v>
      </c>
      <c r="E181" s="4" t="s">
        <v>79</v>
      </c>
      <c r="F181" s="3">
        <v>203</v>
      </c>
      <c r="G181" s="2" t="str">
        <f>_xlfn.XLOOKUP(tblOrder[[#This Row],[Produktkod]], tblProd[Produktkod], tblProd[Produktnamn])</f>
        <v>Sensor S-45</v>
      </c>
      <c r="H181" s="2">
        <f>_xlfn.XLOOKUP(tblOrder[[#This Row],[Produktkod]], tblProd[Produktkod], tblProd[Styckpris])</f>
        <v>2100</v>
      </c>
      <c r="I181" s="2">
        <f>_xlfn.XLOOKUP(tblOrder[[#This Row],[Produktkod]], tblProd[Produktkod], tblProd[Självkostnad/st])</f>
        <v>1180</v>
      </c>
      <c r="J181" s="2" t="str">
        <f>_xlfn.XLOOKUP(tblOrder[[#This Row],[Kundkod]], tblKund[Kundkod], tblKund[Kund], "Okänd kund")</f>
        <v>Industrikomponenter</v>
      </c>
      <c r="K181" s="2">
        <f>tblOrder[[#This Row],[Antal]]*tblOrder[[#This Row],[Styckpris]]</f>
        <v>426300</v>
      </c>
      <c r="L181" s="14">
        <f>_xlfn.XLOOKUP(tblOrder[[#This Row],[Antal]], tblRabatt[Min antal], tblRabatt[Rabattsats], , -1)</f>
        <v>0.05</v>
      </c>
      <c r="M181" s="19">
        <f t="shared" si="2"/>
        <v>186760</v>
      </c>
    </row>
    <row r="182" spans="1:13" x14ac:dyDescent="0.25">
      <c r="A182" s="4" t="s">
        <v>274</v>
      </c>
      <c r="B182" s="8">
        <v>46109</v>
      </c>
      <c r="C182" s="4" t="s">
        <v>220</v>
      </c>
      <c r="D182" s="4" t="s">
        <v>28</v>
      </c>
      <c r="E182" s="4" t="s">
        <v>65</v>
      </c>
      <c r="F182" s="3">
        <v>594</v>
      </c>
      <c r="G182" s="2" t="str">
        <f>_xlfn.XLOOKUP(tblOrder[[#This Row],[Produktkod]], tblProd[Produktkod], tblProd[Produktnamn])</f>
        <v>Montagesats MS-10</v>
      </c>
      <c r="H182" s="2">
        <f>_xlfn.XLOOKUP(tblOrder[[#This Row],[Produktkod]], tblProd[Produktkod], tblProd[Styckpris])</f>
        <v>1250</v>
      </c>
      <c r="I182" s="2">
        <f>_xlfn.XLOOKUP(tblOrder[[#This Row],[Produktkod]], tblProd[Produktkod], tblProd[Självkostnad/st])</f>
        <v>720</v>
      </c>
      <c r="J182" s="2" t="str">
        <f>_xlfn.XLOOKUP(tblOrder[[#This Row],[Kundkod]], tblKund[Kundkod], tblKund[Kund], "Okänd kund")</f>
        <v>Wärtsilä</v>
      </c>
      <c r="K182" s="2">
        <f>tblOrder[[#This Row],[Antal]]*tblOrder[[#This Row],[Styckpris]]</f>
        <v>742500</v>
      </c>
      <c r="L182" s="14">
        <f>_xlfn.XLOOKUP(tblOrder[[#This Row],[Antal]], tblRabatt[Min antal], tblRabatt[Rabattsats], , -1)</f>
        <v>0.12</v>
      </c>
      <c r="M182" s="19">
        <f t="shared" si="2"/>
        <v>314820</v>
      </c>
    </row>
    <row r="183" spans="1:13" x14ac:dyDescent="0.25">
      <c r="A183" s="4" t="s">
        <v>275</v>
      </c>
      <c r="B183" s="8">
        <v>46109</v>
      </c>
      <c r="C183" s="4" t="s">
        <v>220</v>
      </c>
      <c r="D183" s="4" t="s">
        <v>28</v>
      </c>
      <c r="E183" s="4" t="s">
        <v>59</v>
      </c>
      <c r="F183" s="3">
        <v>38</v>
      </c>
      <c r="G183" s="2" t="str">
        <f>_xlfn.XLOOKUP(tblOrder[[#This Row],[Produktkod]], tblProd[Produktkod], tblProd[Produktnamn])</f>
        <v>Montagesats MS-10</v>
      </c>
      <c r="H183" s="2">
        <f>_xlfn.XLOOKUP(tblOrder[[#This Row],[Produktkod]], tblProd[Produktkod], tblProd[Styckpris])</f>
        <v>1250</v>
      </c>
      <c r="I183" s="2">
        <f>_xlfn.XLOOKUP(tblOrder[[#This Row],[Produktkod]], tblProd[Produktkod], tblProd[Självkostnad/st])</f>
        <v>720</v>
      </c>
      <c r="J183" s="2" t="str">
        <f>_xlfn.XLOOKUP(tblOrder[[#This Row],[Kundkod]], tblKund[Kundkod], tblKund[Kund], "Okänd kund")</f>
        <v>Kongsberg Automotive</v>
      </c>
      <c r="K183" s="2">
        <f>tblOrder[[#This Row],[Antal]]*tblOrder[[#This Row],[Styckpris]]</f>
        <v>47500</v>
      </c>
      <c r="L183" s="14">
        <f>_xlfn.XLOOKUP(tblOrder[[#This Row],[Antal]], tblRabatt[Min antal], tblRabatt[Rabattsats], , -1)</f>
        <v>0</v>
      </c>
      <c r="M183" s="19">
        <f t="shared" si="2"/>
        <v>20140</v>
      </c>
    </row>
    <row r="184" spans="1:13" x14ac:dyDescent="0.25">
      <c r="A184" s="4" t="s">
        <v>276</v>
      </c>
      <c r="B184" s="8">
        <v>46109</v>
      </c>
      <c r="C184" s="4" t="s">
        <v>220</v>
      </c>
      <c r="D184" s="4" t="s">
        <v>26</v>
      </c>
      <c r="E184" s="4" t="s">
        <v>68</v>
      </c>
      <c r="F184" s="3">
        <v>43</v>
      </c>
      <c r="G184" s="2" t="str">
        <f>_xlfn.XLOOKUP(tblOrder[[#This Row],[Produktkod]], tblProd[Produktkod], tblProd[Produktnamn])</f>
        <v>Ventilblock VB-30</v>
      </c>
      <c r="H184" s="2">
        <f>_xlfn.XLOOKUP(tblOrder[[#This Row],[Produktkod]], tblProd[Produktkod], tblProd[Styckpris])</f>
        <v>3200</v>
      </c>
      <c r="I184" s="2">
        <f>_xlfn.XLOOKUP(tblOrder[[#This Row],[Produktkod]], tblProd[Produktkod], tblProd[Självkostnad/st])</f>
        <v>1950</v>
      </c>
      <c r="J184" s="2" t="str">
        <f>_xlfn.XLOOKUP(tblOrder[[#This Row],[Kundkod]], tblKund[Kundkod], tblKund[Kund], "Okänd kund")</f>
        <v>Bosch Rexroth</v>
      </c>
      <c r="K184" s="2">
        <f>tblOrder[[#This Row],[Antal]]*tblOrder[[#This Row],[Styckpris]]</f>
        <v>137600</v>
      </c>
      <c r="L184" s="14">
        <f>_xlfn.XLOOKUP(tblOrder[[#This Row],[Antal]], tblRabatt[Min antal], tblRabatt[Rabattsats], , -1)</f>
        <v>0</v>
      </c>
      <c r="M184" s="19">
        <f t="shared" si="2"/>
        <v>53750</v>
      </c>
    </row>
    <row r="185" spans="1:13" x14ac:dyDescent="0.25">
      <c r="A185" s="4" t="s">
        <v>277</v>
      </c>
      <c r="B185" s="8">
        <v>46113</v>
      </c>
      <c r="C185" s="4" t="s">
        <v>278</v>
      </c>
      <c r="D185" s="4" t="s">
        <v>21</v>
      </c>
      <c r="E185" s="4" t="s">
        <v>223</v>
      </c>
      <c r="F185" s="3">
        <v>70</v>
      </c>
      <c r="G185" s="2" t="str">
        <f>_xlfn.XLOOKUP(tblOrder[[#This Row],[Produktkod]], tblProd[Produktkod], tblProd[Produktnamn])</f>
        <v>Hydraulcylinder HC-50</v>
      </c>
      <c r="H185" s="2">
        <f>_xlfn.XLOOKUP(tblOrder[[#This Row],[Produktkod]], tblProd[Produktkod], tblProd[Styckpris])</f>
        <v>4500</v>
      </c>
      <c r="I185" s="2">
        <f>_xlfn.XLOOKUP(tblOrder[[#This Row],[Produktkod]], tblProd[Produktkod], tblProd[Självkostnad/st])</f>
        <v>2800</v>
      </c>
      <c r="J185" s="2" t="str">
        <f>_xlfn.XLOOKUP(tblOrder[[#This Row],[Kundkod]], tblKund[Kundkod], tblKund[Kund], "Okänd kund")</f>
        <v>Okänd kund</v>
      </c>
      <c r="K185" s="2">
        <f>tblOrder[[#This Row],[Antal]]*tblOrder[[#This Row],[Styckpris]]</f>
        <v>315000</v>
      </c>
      <c r="L185" s="14">
        <f>_xlfn.XLOOKUP(tblOrder[[#This Row],[Antal]], tblRabatt[Min antal], tblRabatt[Rabattsats], , -1)</f>
        <v>0.03</v>
      </c>
      <c r="M185" s="19">
        <f t="shared" si="2"/>
        <v>119000</v>
      </c>
    </row>
    <row r="186" spans="1:13" x14ac:dyDescent="0.25">
      <c r="A186" s="4" t="s">
        <v>279</v>
      </c>
      <c r="B186" s="8">
        <v>46113</v>
      </c>
      <c r="C186" s="4" t="s">
        <v>278</v>
      </c>
      <c r="D186" s="4" t="s">
        <v>33</v>
      </c>
      <c r="E186" s="4" t="s">
        <v>74</v>
      </c>
      <c r="F186" s="3">
        <v>56</v>
      </c>
      <c r="G186" s="2" t="str">
        <f>_xlfn.XLOOKUP(tblOrder[[#This Row],[Produktkod]], tblProd[Produktkod], tblProd[Produktnamn])</f>
        <v>Skruvkit SK-100</v>
      </c>
      <c r="H186" s="2">
        <f>_xlfn.XLOOKUP(tblOrder[[#This Row],[Produktkod]], tblProd[Produktkod], tblProd[Styckpris])</f>
        <v>320</v>
      </c>
      <c r="I186" s="2">
        <f>_xlfn.XLOOKUP(tblOrder[[#This Row],[Produktkod]], tblProd[Produktkod], tblProd[Självkostnad/st])</f>
        <v>165</v>
      </c>
      <c r="J186" s="2" t="str">
        <f>_xlfn.XLOOKUP(tblOrder[[#This Row],[Kundkod]], tblKund[Kundkod], tblKund[Kund], "Okänd kund")</f>
        <v>Nordic Parts AS</v>
      </c>
      <c r="K186" s="2">
        <f>tblOrder[[#This Row],[Antal]]*tblOrder[[#This Row],[Styckpris]]</f>
        <v>17920</v>
      </c>
      <c r="L186" s="14">
        <f>_xlfn.XLOOKUP(tblOrder[[#This Row],[Antal]], tblRabatt[Min antal], tblRabatt[Rabattsats], , -1)</f>
        <v>0.03</v>
      </c>
      <c r="M186" s="19">
        <f t="shared" si="2"/>
        <v>8680</v>
      </c>
    </row>
    <row r="187" spans="1:13" x14ac:dyDescent="0.25">
      <c r="A187" s="4" t="s">
        <v>280</v>
      </c>
      <c r="B187" s="8">
        <v>46114</v>
      </c>
      <c r="C187" s="4" t="s">
        <v>278</v>
      </c>
      <c r="D187" s="4" t="s">
        <v>40</v>
      </c>
      <c r="E187" s="4" t="s">
        <v>62</v>
      </c>
      <c r="F187" s="3">
        <v>36</v>
      </c>
      <c r="G187" s="2" t="str">
        <f>_xlfn.XLOOKUP(tblOrder[[#This Row],[Produktkod]], tblProd[Produktkod], tblProd[Produktnamn])</f>
        <v>Kabelhärva KH-7</v>
      </c>
      <c r="H187" s="2">
        <f>_xlfn.XLOOKUP(tblOrder[[#This Row],[Produktkod]], tblProd[Produktkod], tblProd[Styckpris])</f>
        <v>890</v>
      </c>
      <c r="I187" s="2">
        <f>_xlfn.XLOOKUP(tblOrder[[#This Row],[Produktkod]], tblProd[Produktkod], tblProd[Självkostnad/st])</f>
        <v>510</v>
      </c>
      <c r="J187" s="2" t="str">
        <f>_xlfn.XLOOKUP(tblOrder[[#This Row],[Kundkod]], tblKund[Kundkod], tblKund[Kund], "Okänd kund")</f>
        <v>Danfoss A/S</v>
      </c>
      <c r="K187" s="2">
        <f>tblOrder[[#This Row],[Antal]]*tblOrder[[#This Row],[Styckpris]]</f>
        <v>32040</v>
      </c>
      <c r="L187" s="14">
        <f>_xlfn.XLOOKUP(tblOrder[[#This Row],[Antal]], tblRabatt[Min antal], tblRabatt[Rabattsats], , -1)</f>
        <v>0</v>
      </c>
      <c r="M187" s="19">
        <f t="shared" si="2"/>
        <v>13680</v>
      </c>
    </row>
    <row r="188" spans="1:13" x14ac:dyDescent="0.25">
      <c r="A188" s="4" t="s">
        <v>281</v>
      </c>
      <c r="B188" s="8">
        <v>46114</v>
      </c>
      <c r="C188" s="4" t="s">
        <v>278</v>
      </c>
      <c r="D188" s="4" t="s">
        <v>42</v>
      </c>
      <c r="E188" s="4" t="s">
        <v>71</v>
      </c>
      <c r="F188" s="3">
        <v>16</v>
      </c>
      <c r="G188" s="2" t="str">
        <f>_xlfn.XLOOKUP(tblOrder[[#This Row],[Produktkod]], tblProd[Produktkod], tblProd[Produktnamn])</f>
        <v>Lagersats LS-22</v>
      </c>
      <c r="H188" s="2">
        <f>_xlfn.XLOOKUP(tblOrder[[#This Row],[Produktkod]], tblProd[Produktkod], tblProd[Styckpris])</f>
        <v>650</v>
      </c>
      <c r="I188" s="2">
        <f>_xlfn.XLOOKUP(tblOrder[[#This Row],[Produktkod]], tblProd[Produktkod], tblProd[Självkostnad/st])</f>
        <v>380</v>
      </c>
      <c r="J188" s="2" t="str">
        <f>_xlfn.XLOOKUP(tblOrder[[#This Row],[Kundkod]], tblKund[Kundkod], tblKund[Kund], "Okänd kund")</f>
        <v>Hydraul-Service AB</v>
      </c>
      <c r="K188" s="2">
        <f>tblOrder[[#This Row],[Antal]]*tblOrder[[#This Row],[Styckpris]]</f>
        <v>10400</v>
      </c>
      <c r="L188" s="14">
        <f>_xlfn.XLOOKUP(tblOrder[[#This Row],[Antal]], tblRabatt[Min antal], tblRabatt[Rabattsats], , -1)</f>
        <v>0</v>
      </c>
      <c r="M188" s="19">
        <f t="shared" si="2"/>
        <v>4320</v>
      </c>
    </row>
    <row r="189" spans="1:13" x14ac:dyDescent="0.25">
      <c r="A189" s="4" t="s">
        <v>282</v>
      </c>
      <c r="B189" s="8">
        <v>46115</v>
      </c>
      <c r="C189" s="4" t="s">
        <v>278</v>
      </c>
      <c r="D189" s="4" t="s">
        <v>47</v>
      </c>
      <c r="E189" s="4" t="s">
        <v>62</v>
      </c>
      <c r="F189" s="3">
        <v>156</v>
      </c>
      <c r="G189" s="2" t="str">
        <f>_xlfn.XLOOKUP(tblOrder[[#This Row],[Produktkod]], tblProd[Produktkod], tblProd[Produktnamn])</f>
        <v>Packningssats PS-3</v>
      </c>
      <c r="H189" s="2">
        <f>_xlfn.XLOOKUP(tblOrder[[#This Row],[Produktkod]], tblProd[Produktkod], tblProd[Styckpris])</f>
        <v>145</v>
      </c>
      <c r="I189" s="2">
        <f>_xlfn.XLOOKUP(tblOrder[[#This Row],[Produktkod]], tblProd[Produktkod], tblProd[Självkostnad/st])</f>
        <v>68</v>
      </c>
      <c r="J189" s="2" t="str">
        <f>_xlfn.XLOOKUP(tblOrder[[#This Row],[Kundkod]], tblKund[Kundkod], tblKund[Kund], "Okänd kund")</f>
        <v>Danfoss A/S</v>
      </c>
      <c r="K189" s="2">
        <f>tblOrder[[#This Row],[Antal]]*tblOrder[[#This Row],[Styckpris]]</f>
        <v>22620</v>
      </c>
      <c r="L189" s="14">
        <f>_xlfn.XLOOKUP(tblOrder[[#This Row],[Antal]], tblRabatt[Min antal], tblRabatt[Rabattsats], , -1)</f>
        <v>0.05</v>
      </c>
      <c r="M189" s="19">
        <f t="shared" si="2"/>
        <v>12012</v>
      </c>
    </row>
    <row r="190" spans="1:13" x14ac:dyDescent="0.25">
      <c r="A190" s="4" t="s">
        <v>283</v>
      </c>
      <c r="B190" s="8">
        <v>46115</v>
      </c>
      <c r="C190" s="4" t="s">
        <v>278</v>
      </c>
      <c r="D190" s="4" t="s">
        <v>31</v>
      </c>
      <c r="E190" s="4" t="s">
        <v>79</v>
      </c>
      <c r="F190" s="3">
        <v>110</v>
      </c>
      <c r="G190" s="2" t="str">
        <f>_xlfn.XLOOKUP(tblOrder[[#This Row],[Produktkod]], tblProd[Produktkod], tblProd[Produktnamn])</f>
        <v>Fästplatta FP-A4</v>
      </c>
      <c r="H190" s="2">
        <f>_xlfn.XLOOKUP(tblOrder[[#This Row],[Produktkod]], tblProd[Produktkod], tblProd[Styckpris])</f>
        <v>480</v>
      </c>
      <c r="I190" s="2">
        <f>_xlfn.XLOOKUP(tblOrder[[#This Row],[Produktkod]], tblProd[Produktkod], tblProd[Självkostnad/st])</f>
        <v>260</v>
      </c>
      <c r="J190" s="2" t="str">
        <f>_xlfn.XLOOKUP(tblOrder[[#This Row],[Kundkod]], tblKund[Kundkod], tblKund[Kund], "Okänd kund")</f>
        <v>Industrikomponenter</v>
      </c>
      <c r="K190" s="2">
        <f>tblOrder[[#This Row],[Antal]]*tblOrder[[#This Row],[Styckpris]]</f>
        <v>52800</v>
      </c>
      <c r="L190" s="14">
        <f>_xlfn.XLOOKUP(tblOrder[[#This Row],[Antal]], tblRabatt[Min antal], tblRabatt[Rabattsats], , -1)</f>
        <v>0.05</v>
      </c>
      <c r="M190" s="19">
        <f t="shared" si="2"/>
        <v>24200</v>
      </c>
    </row>
    <row r="191" spans="1:13" x14ac:dyDescent="0.25">
      <c r="A191" s="4" t="s">
        <v>284</v>
      </c>
      <c r="B191" s="8">
        <v>46118</v>
      </c>
      <c r="C191" s="4" t="s">
        <v>278</v>
      </c>
      <c r="D191" s="4" t="s">
        <v>38</v>
      </c>
      <c r="E191" s="4" t="s">
        <v>57</v>
      </c>
      <c r="F191" s="3">
        <v>46</v>
      </c>
      <c r="G191" s="2" t="str">
        <f>_xlfn.XLOOKUP(tblOrder[[#This Row],[Produktkod]], tblProd[Produktkod], tblProd[Produktnamn])</f>
        <v>Sensor S-45</v>
      </c>
      <c r="H191" s="2">
        <f>_xlfn.XLOOKUP(tblOrder[[#This Row],[Produktkod]], tblProd[Produktkod], tblProd[Styckpris])</f>
        <v>2100</v>
      </c>
      <c r="I191" s="2">
        <f>_xlfn.XLOOKUP(tblOrder[[#This Row],[Produktkod]], tblProd[Produktkod], tblProd[Självkostnad/st])</f>
        <v>1180</v>
      </c>
      <c r="J191" s="2" t="str">
        <f>_xlfn.XLOOKUP(tblOrder[[#This Row],[Kundkod]], tblKund[Kundkod], tblKund[Kund], "Okänd kund")</f>
        <v>Scania CV</v>
      </c>
      <c r="K191" s="2">
        <f>tblOrder[[#This Row],[Antal]]*tblOrder[[#This Row],[Styckpris]]</f>
        <v>96600</v>
      </c>
      <c r="L191" s="14">
        <f>_xlfn.XLOOKUP(tblOrder[[#This Row],[Antal]], tblRabatt[Min antal], tblRabatt[Rabattsats], , -1)</f>
        <v>0</v>
      </c>
      <c r="M191" s="19">
        <f t="shared" si="2"/>
        <v>42320</v>
      </c>
    </row>
    <row r="192" spans="1:13" x14ac:dyDescent="0.25">
      <c r="A192" s="4" t="s">
        <v>285</v>
      </c>
      <c r="B192" s="8">
        <v>46118</v>
      </c>
      <c r="C192" s="4" t="s">
        <v>278</v>
      </c>
      <c r="D192" s="4" t="s">
        <v>47</v>
      </c>
      <c r="E192" s="4" t="s">
        <v>74</v>
      </c>
      <c r="F192" s="3">
        <v>87</v>
      </c>
      <c r="G192" s="2" t="str">
        <f>_xlfn.XLOOKUP(tblOrder[[#This Row],[Produktkod]], tblProd[Produktkod], tblProd[Produktnamn])</f>
        <v>Packningssats PS-3</v>
      </c>
      <c r="H192" s="2">
        <f>_xlfn.XLOOKUP(tblOrder[[#This Row],[Produktkod]], tblProd[Produktkod], tblProd[Styckpris])</f>
        <v>145</v>
      </c>
      <c r="I192" s="2">
        <f>_xlfn.XLOOKUP(tblOrder[[#This Row],[Produktkod]], tblProd[Produktkod], tblProd[Självkostnad/st])</f>
        <v>68</v>
      </c>
      <c r="J192" s="2" t="str">
        <f>_xlfn.XLOOKUP(tblOrder[[#This Row],[Kundkod]], tblKund[Kundkod], tblKund[Kund], "Okänd kund")</f>
        <v>Nordic Parts AS</v>
      </c>
      <c r="K192" s="2">
        <f>tblOrder[[#This Row],[Antal]]*tblOrder[[#This Row],[Styckpris]]</f>
        <v>12615</v>
      </c>
      <c r="L192" s="14">
        <f>_xlfn.XLOOKUP(tblOrder[[#This Row],[Antal]], tblRabatt[Min antal], tblRabatt[Rabattsats], , -1)</f>
        <v>0.03</v>
      </c>
      <c r="M192" s="19">
        <f t="shared" si="2"/>
        <v>6699</v>
      </c>
    </row>
    <row r="193" spans="1:13" x14ac:dyDescent="0.25">
      <c r="A193" s="4" t="s">
        <v>286</v>
      </c>
      <c r="B193" s="8">
        <v>46118</v>
      </c>
      <c r="C193" s="4" t="s">
        <v>278</v>
      </c>
      <c r="D193" s="4" t="s">
        <v>47</v>
      </c>
      <c r="E193" s="4" t="s">
        <v>65</v>
      </c>
      <c r="F193" s="3">
        <v>25</v>
      </c>
      <c r="G193" s="2" t="str">
        <f>_xlfn.XLOOKUP(tblOrder[[#This Row],[Produktkod]], tblProd[Produktkod], tblProd[Produktnamn])</f>
        <v>Packningssats PS-3</v>
      </c>
      <c r="H193" s="2">
        <f>_xlfn.XLOOKUP(tblOrder[[#This Row],[Produktkod]], tblProd[Produktkod], tblProd[Styckpris])</f>
        <v>145</v>
      </c>
      <c r="I193" s="2">
        <f>_xlfn.XLOOKUP(tblOrder[[#This Row],[Produktkod]], tblProd[Produktkod], tblProd[Självkostnad/st])</f>
        <v>68</v>
      </c>
      <c r="J193" s="2" t="str">
        <f>_xlfn.XLOOKUP(tblOrder[[#This Row],[Kundkod]], tblKund[Kundkod], tblKund[Kund], "Okänd kund")</f>
        <v>Wärtsilä</v>
      </c>
      <c r="K193" s="2">
        <f>tblOrder[[#This Row],[Antal]]*tblOrder[[#This Row],[Styckpris]]</f>
        <v>3625</v>
      </c>
      <c r="L193" s="14">
        <f>_xlfn.XLOOKUP(tblOrder[[#This Row],[Antal]], tblRabatt[Min antal], tblRabatt[Rabattsats], , -1)</f>
        <v>0</v>
      </c>
      <c r="M193" s="19">
        <f t="shared" si="2"/>
        <v>1925</v>
      </c>
    </row>
    <row r="194" spans="1:13" x14ac:dyDescent="0.25">
      <c r="A194" s="4" t="s">
        <v>287</v>
      </c>
      <c r="B194" s="8">
        <v>46118</v>
      </c>
      <c r="C194" s="4" t="s">
        <v>278</v>
      </c>
      <c r="D194" s="4" t="s">
        <v>24</v>
      </c>
      <c r="E194" s="4" t="s">
        <v>59</v>
      </c>
      <c r="F194" s="3">
        <v>19</v>
      </c>
      <c r="G194" s="2" t="str">
        <f>_xlfn.XLOOKUP(tblOrder[[#This Row],[Produktkod]], tblProd[Produktkod], tblProd[Produktnamn])</f>
        <v>Hydraulpump HP-200</v>
      </c>
      <c r="H194" s="2">
        <f>_xlfn.XLOOKUP(tblOrder[[#This Row],[Produktkod]], tblProd[Produktkod], tblProd[Styckpris])</f>
        <v>8900</v>
      </c>
      <c r="I194" s="2">
        <f>_xlfn.XLOOKUP(tblOrder[[#This Row],[Produktkod]], tblProd[Produktkod], tblProd[Självkostnad/st])</f>
        <v>5600</v>
      </c>
      <c r="J194" s="2" t="str">
        <f>_xlfn.XLOOKUP(tblOrder[[#This Row],[Kundkod]], tblKund[Kundkod], tblKund[Kund], "Okänd kund")</f>
        <v>Kongsberg Automotive</v>
      </c>
      <c r="K194" s="2">
        <f>tblOrder[[#This Row],[Antal]]*tblOrder[[#This Row],[Styckpris]]</f>
        <v>169100</v>
      </c>
      <c r="L194" s="14">
        <f>_xlfn.XLOOKUP(tblOrder[[#This Row],[Antal]], tblRabatt[Min antal], tblRabatt[Rabattsats], , -1)</f>
        <v>0</v>
      </c>
      <c r="M194" s="19">
        <f t="shared" ref="M194:M257" si="3">K194-F194*I194</f>
        <v>62700</v>
      </c>
    </row>
    <row r="195" spans="1:13" x14ac:dyDescent="0.25">
      <c r="A195" s="4" t="s">
        <v>288</v>
      </c>
      <c r="B195" s="8">
        <v>46119</v>
      </c>
      <c r="C195" s="4" t="s">
        <v>278</v>
      </c>
      <c r="D195" s="4" t="s">
        <v>33</v>
      </c>
      <c r="E195" s="4" t="s">
        <v>68</v>
      </c>
      <c r="F195" s="3">
        <v>12</v>
      </c>
      <c r="G195" s="2" t="str">
        <f>_xlfn.XLOOKUP(tblOrder[[#This Row],[Produktkod]], tblProd[Produktkod], tblProd[Produktnamn])</f>
        <v>Skruvkit SK-100</v>
      </c>
      <c r="H195" s="2">
        <f>_xlfn.XLOOKUP(tblOrder[[#This Row],[Produktkod]], tblProd[Produktkod], tblProd[Styckpris])</f>
        <v>320</v>
      </c>
      <c r="I195" s="2">
        <f>_xlfn.XLOOKUP(tblOrder[[#This Row],[Produktkod]], tblProd[Produktkod], tblProd[Självkostnad/st])</f>
        <v>165</v>
      </c>
      <c r="J195" s="2" t="str">
        <f>_xlfn.XLOOKUP(tblOrder[[#This Row],[Kundkod]], tblKund[Kundkod], tblKund[Kund], "Okänd kund")</f>
        <v>Bosch Rexroth</v>
      </c>
      <c r="K195" s="2">
        <f>tblOrder[[#This Row],[Antal]]*tblOrder[[#This Row],[Styckpris]]</f>
        <v>3840</v>
      </c>
      <c r="L195" s="14">
        <f>_xlfn.XLOOKUP(tblOrder[[#This Row],[Antal]], tblRabatt[Min antal], tblRabatt[Rabattsats], , -1)</f>
        <v>0</v>
      </c>
      <c r="M195" s="19">
        <f t="shared" si="3"/>
        <v>1860</v>
      </c>
    </row>
    <row r="196" spans="1:13" x14ac:dyDescent="0.25">
      <c r="A196" s="4" t="s">
        <v>289</v>
      </c>
      <c r="B196" s="8">
        <v>46121</v>
      </c>
      <c r="C196" s="4" t="s">
        <v>278</v>
      </c>
      <c r="D196" s="4" t="s">
        <v>21</v>
      </c>
      <c r="E196" s="4" t="s">
        <v>59</v>
      </c>
      <c r="F196" s="3">
        <v>45</v>
      </c>
      <c r="G196" s="2" t="str">
        <f>_xlfn.XLOOKUP(tblOrder[[#This Row],[Produktkod]], tblProd[Produktkod], tblProd[Produktnamn])</f>
        <v>Hydraulcylinder HC-50</v>
      </c>
      <c r="H196" s="2">
        <f>_xlfn.XLOOKUP(tblOrder[[#This Row],[Produktkod]], tblProd[Produktkod], tblProd[Styckpris])</f>
        <v>4500</v>
      </c>
      <c r="I196" s="2">
        <f>_xlfn.XLOOKUP(tblOrder[[#This Row],[Produktkod]], tblProd[Produktkod], tblProd[Självkostnad/st])</f>
        <v>2800</v>
      </c>
      <c r="J196" s="2" t="str">
        <f>_xlfn.XLOOKUP(tblOrder[[#This Row],[Kundkod]], tblKund[Kundkod], tblKund[Kund], "Okänd kund")</f>
        <v>Kongsberg Automotive</v>
      </c>
      <c r="K196" s="2">
        <f>tblOrder[[#This Row],[Antal]]*tblOrder[[#This Row],[Styckpris]]</f>
        <v>202500</v>
      </c>
      <c r="L196" s="14">
        <f>_xlfn.XLOOKUP(tblOrder[[#This Row],[Antal]], tblRabatt[Min antal], tblRabatt[Rabattsats], , -1)</f>
        <v>0</v>
      </c>
      <c r="M196" s="19">
        <f t="shared" si="3"/>
        <v>76500</v>
      </c>
    </row>
    <row r="197" spans="1:13" x14ac:dyDescent="0.25">
      <c r="A197" s="4" t="s">
        <v>290</v>
      </c>
      <c r="B197" s="8">
        <v>46121</v>
      </c>
      <c r="C197" s="4" t="s">
        <v>278</v>
      </c>
      <c r="D197" s="4" t="s">
        <v>28</v>
      </c>
      <c r="E197" s="4" t="s">
        <v>68</v>
      </c>
      <c r="F197" s="3">
        <v>41</v>
      </c>
      <c r="G197" s="2" t="str">
        <f>_xlfn.XLOOKUP(tblOrder[[#This Row],[Produktkod]], tblProd[Produktkod], tblProd[Produktnamn])</f>
        <v>Montagesats MS-10</v>
      </c>
      <c r="H197" s="2">
        <f>_xlfn.XLOOKUP(tblOrder[[#This Row],[Produktkod]], tblProd[Produktkod], tblProd[Styckpris])</f>
        <v>1250</v>
      </c>
      <c r="I197" s="2">
        <f>_xlfn.XLOOKUP(tblOrder[[#This Row],[Produktkod]], tblProd[Produktkod], tblProd[Självkostnad/st])</f>
        <v>720</v>
      </c>
      <c r="J197" s="2" t="str">
        <f>_xlfn.XLOOKUP(tblOrder[[#This Row],[Kundkod]], tblKund[Kundkod], tblKund[Kund], "Okänd kund")</f>
        <v>Bosch Rexroth</v>
      </c>
      <c r="K197" s="2">
        <f>tblOrder[[#This Row],[Antal]]*tblOrder[[#This Row],[Styckpris]]</f>
        <v>51250</v>
      </c>
      <c r="L197" s="14">
        <f>_xlfn.XLOOKUP(tblOrder[[#This Row],[Antal]], tblRabatt[Min antal], tblRabatt[Rabattsats], , -1)</f>
        <v>0</v>
      </c>
      <c r="M197" s="19">
        <f t="shared" si="3"/>
        <v>21730</v>
      </c>
    </row>
    <row r="198" spans="1:13" x14ac:dyDescent="0.25">
      <c r="A198" s="4" t="s">
        <v>291</v>
      </c>
      <c r="B198" s="8">
        <v>46121</v>
      </c>
      <c r="C198" s="4" t="s">
        <v>278</v>
      </c>
      <c r="D198" s="4" t="s">
        <v>24</v>
      </c>
      <c r="E198" s="4" t="s">
        <v>65</v>
      </c>
      <c r="F198" s="3">
        <v>55</v>
      </c>
      <c r="G198" s="2" t="str">
        <f>_xlfn.XLOOKUP(tblOrder[[#This Row],[Produktkod]], tblProd[Produktkod], tblProd[Produktnamn])</f>
        <v>Hydraulpump HP-200</v>
      </c>
      <c r="H198" s="2">
        <f>_xlfn.XLOOKUP(tblOrder[[#This Row],[Produktkod]], tblProd[Produktkod], tblProd[Styckpris])</f>
        <v>8900</v>
      </c>
      <c r="I198" s="2">
        <f>_xlfn.XLOOKUP(tblOrder[[#This Row],[Produktkod]], tblProd[Produktkod], tblProd[Självkostnad/st])</f>
        <v>5600</v>
      </c>
      <c r="J198" s="2" t="str">
        <f>_xlfn.XLOOKUP(tblOrder[[#This Row],[Kundkod]], tblKund[Kundkod], tblKund[Kund], "Okänd kund")</f>
        <v>Wärtsilä</v>
      </c>
      <c r="K198" s="2">
        <f>tblOrder[[#This Row],[Antal]]*tblOrder[[#This Row],[Styckpris]]</f>
        <v>489500</v>
      </c>
      <c r="L198" s="14">
        <f>_xlfn.XLOOKUP(tblOrder[[#This Row],[Antal]], tblRabatt[Min antal], tblRabatt[Rabattsats], , -1)</f>
        <v>0.03</v>
      </c>
      <c r="M198" s="19">
        <f t="shared" si="3"/>
        <v>181500</v>
      </c>
    </row>
    <row r="199" spans="1:13" x14ac:dyDescent="0.25">
      <c r="A199" s="4" t="s">
        <v>292</v>
      </c>
      <c r="B199" s="8">
        <v>46121</v>
      </c>
      <c r="C199" s="4" t="s">
        <v>278</v>
      </c>
      <c r="D199" s="4" t="s">
        <v>40</v>
      </c>
      <c r="E199" s="4" t="s">
        <v>57</v>
      </c>
      <c r="F199" s="3">
        <v>19</v>
      </c>
      <c r="G199" s="2" t="str">
        <f>_xlfn.XLOOKUP(tblOrder[[#This Row],[Produktkod]], tblProd[Produktkod], tblProd[Produktnamn])</f>
        <v>Kabelhärva KH-7</v>
      </c>
      <c r="H199" s="2">
        <f>_xlfn.XLOOKUP(tblOrder[[#This Row],[Produktkod]], tblProd[Produktkod], tblProd[Styckpris])</f>
        <v>890</v>
      </c>
      <c r="I199" s="2">
        <f>_xlfn.XLOOKUP(tblOrder[[#This Row],[Produktkod]], tblProd[Produktkod], tblProd[Självkostnad/st])</f>
        <v>510</v>
      </c>
      <c r="J199" s="2" t="str">
        <f>_xlfn.XLOOKUP(tblOrder[[#This Row],[Kundkod]], tblKund[Kundkod], tblKund[Kund], "Okänd kund")</f>
        <v>Scania CV</v>
      </c>
      <c r="K199" s="2">
        <f>tblOrder[[#This Row],[Antal]]*tblOrder[[#This Row],[Styckpris]]</f>
        <v>16910</v>
      </c>
      <c r="L199" s="14">
        <f>_xlfn.XLOOKUP(tblOrder[[#This Row],[Antal]], tblRabatt[Min antal], tblRabatt[Rabattsats], , -1)</f>
        <v>0</v>
      </c>
      <c r="M199" s="19">
        <f t="shared" si="3"/>
        <v>7220</v>
      </c>
    </row>
    <row r="200" spans="1:13" x14ac:dyDescent="0.25">
      <c r="A200" s="4" t="s">
        <v>293</v>
      </c>
      <c r="B200" s="8">
        <v>46122</v>
      </c>
      <c r="C200" s="4" t="s">
        <v>278</v>
      </c>
      <c r="D200" s="4" t="s">
        <v>47</v>
      </c>
      <c r="E200" s="4" t="s">
        <v>79</v>
      </c>
      <c r="F200" s="3">
        <v>202</v>
      </c>
      <c r="G200" s="2" t="str">
        <f>_xlfn.XLOOKUP(tblOrder[[#This Row],[Produktkod]], tblProd[Produktkod], tblProd[Produktnamn])</f>
        <v>Packningssats PS-3</v>
      </c>
      <c r="H200" s="2">
        <f>_xlfn.XLOOKUP(tblOrder[[#This Row],[Produktkod]], tblProd[Produktkod], tblProd[Styckpris])</f>
        <v>145</v>
      </c>
      <c r="I200" s="2">
        <f>_xlfn.XLOOKUP(tblOrder[[#This Row],[Produktkod]], tblProd[Produktkod], tblProd[Självkostnad/st])</f>
        <v>68</v>
      </c>
      <c r="J200" s="2" t="str">
        <f>_xlfn.XLOOKUP(tblOrder[[#This Row],[Kundkod]], tblKund[Kundkod], tblKund[Kund], "Okänd kund")</f>
        <v>Industrikomponenter</v>
      </c>
      <c r="K200" s="2">
        <f>tblOrder[[#This Row],[Antal]]*tblOrder[[#This Row],[Styckpris]]</f>
        <v>29290</v>
      </c>
      <c r="L200" s="14">
        <f>_xlfn.XLOOKUP(tblOrder[[#This Row],[Antal]], tblRabatt[Min antal], tblRabatt[Rabattsats], , -1)</f>
        <v>0.05</v>
      </c>
      <c r="M200" s="19">
        <f t="shared" si="3"/>
        <v>15554</v>
      </c>
    </row>
    <row r="201" spans="1:13" x14ac:dyDescent="0.25">
      <c r="A201" s="4" t="s">
        <v>294</v>
      </c>
      <c r="B201" s="8">
        <v>46122</v>
      </c>
      <c r="C201" s="4" t="s">
        <v>278</v>
      </c>
      <c r="D201" s="4" t="s">
        <v>31</v>
      </c>
      <c r="E201" s="4" t="s">
        <v>74</v>
      </c>
      <c r="F201" s="3">
        <v>746</v>
      </c>
      <c r="G201" s="2" t="str">
        <f>_xlfn.XLOOKUP(tblOrder[[#This Row],[Produktkod]], tblProd[Produktkod], tblProd[Produktnamn])</f>
        <v>Fästplatta FP-A4</v>
      </c>
      <c r="H201" s="2">
        <f>_xlfn.XLOOKUP(tblOrder[[#This Row],[Produktkod]], tblProd[Produktkod], tblProd[Styckpris])</f>
        <v>480</v>
      </c>
      <c r="I201" s="2">
        <f>_xlfn.XLOOKUP(tblOrder[[#This Row],[Produktkod]], tblProd[Produktkod], tblProd[Självkostnad/st])</f>
        <v>260</v>
      </c>
      <c r="J201" s="2" t="str">
        <f>_xlfn.XLOOKUP(tblOrder[[#This Row],[Kundkod]], tblKund[Kundkod], tblKund[Kund], "Okänd kund")</f>
        <v>Nordic Parts AS</v>
      </c>
      <c r="K201" s="2">
        <f>tblOrder[[#This Row],[Antal]]*tblOrder[[#This Row],[Styckpris]]</f>
        <v>358080</v>
      </c>
      <c r="L201" s="14">
        <f>_xlfn.XLOOKUP(tblOrder[[#This Row],[Antal]], tblRabatt[Min antal], tblRabatt[Rabattsats], , -1)</f>
        <v>0.12</v>
      </c>
      <c r="M201" s="19">
        <f t="shared" si="3"/>
        <v>164120</v>
      </c>
    </row>
    <row r="202" spans="1:13" x14ac:dyDescent="0.25">
      <c r="A202" s="4" t="s">
        <v>295</v>
      </c>
      <c r="B202" s="8">
        <v>46123</v>
      </c>
      <c r="C202" s="4" t="s">
        <v>278</v>
      </c>
      <c r="D202" s="4" t="s">
        <v>31</v>
      </c>
      <c r="E202" s="4" t="s">
        <v>65</v>
      </c>
      <c r="F202" s="3">
        <v>18</v>
      </c>
      <c r="G202" s="2" t="str">
        <f>_xlfn.XLOOKUP(tblOrder[[#This Row],[Produktkod]], tblProd[Produktkod], tblProd[Produktnamn])</f>
        <v>Fästplatta FP-A4</v>
      </c>
      <c r="H202" s="2">
        <f>_xlfn.XLOOKUP(tblOrder[[#This Row],[Produktkod]], tblProd[Produktkod], tblProd[Styckpris])</f>
        <v>480</v>
      </c>
      <c r="I202" s="2">
        <f>_xlfn.XLOOKUP(tblOrder[[#This Row],[Produktkod]], tblProd[Produktkod], tblProd[Självkostnad/st])</f>
        <v>260</v>
      </c>
      <c r="J202" s="2" t="str">
        <f>_xlfn.XLOOKUP(tblOrder[[#This Row],[Kundkod]], tblKund[Kundkod], tblKund[Kund], "Okänd kund")</f>
        <v>Wärtsilä</v>
      </c>
      <c r="K202" s="2">
        <f>tblOrder[[#This Row],[Antal]]*tblOrder[[#This Row],[Styckpris]]</f>
        <v>8640</v>
      </c>
      <c r="L202" s="14">
        <f>_xlfn.XLOOKUP(tblOrder[[#This Row],[Antal]], tblRabatt[Min antal], tblRabatt[Rabattsats], , -1)</f>
        <v>0</v>
      </c>
      <c r="M202" s="19">
        <f t="shared" si="3"/>
        <v>3960</v>
      </c>
    </row>
    <row r="203" spans="1:13" x14ac:dyDescent="0.25">
      <c r="A203" s="4" t="s">
        <v>296</v>
      </c>
      <c r="B203" s="8">
        <v>46123</v>
      </c>
      <c r="C203" s="4" t="s">
        <v>278</v>
      </c>
      <c r="D203" s="4" t="s">
        <v>33</v>
      </c>
      <c r="E203" s="4" t="s">
        <v>65</v>
      </c>
      <c r="F203" s="3">
        <v>28</v>
      </c>
      <c r="G203" s="2" t="str">
        <f>_xlfn.XLOOKUP(tblOrder[[#This Row],[Produktkod]], tblProd[Produktkod], tblProd[Produktnamn])</f>
        <v>Skruvkit SK-100</v>
      </c>
      <c r="H203" s="2">
        <f>_xlfn.XLOOKUP(tblOrder[[#This Row],[Produktkod]], tblProd[Produktkod], tblProd[Styckpris])</f>
        <v>320</v>
      </c>
      <c r="I203" s="2">
        <f>_xlfn.XLOOKUP(tblOrder[[#This Row],[Produktkod]], tblProd[Produktkod], tblProd[Självkostnad/st])</f>
        <v>165</v>
      </c>
      <c r="J203" s="2" t="str">
        <f>_xlfn.XLOOKUP(tblOrder[[#This Row],[Kundkod]], tblKund[Kundkod], tblKund[Kund], "Okänd kund")</f>
        <v>Wärtsilä</v>
      </c>
      <c r="K203" s="2">
        <f>tblOrder[[#This Row],[Antal]]*tblOrder[[#This Row],[Styckpris]]</f>
        <v>8960</v>
      </c>
      <c r="L203" s="14">
        <f>_xlfn.XLOOKUP(tblOrder[[#This Row],[Antal]], tblRabatt[Min antal], tblRabatt[Rabattsats], , -1)</f>
        <v>0</v>
      </c>
      <c r="M203" s="19">
        <f t="shared" si="3"/>
        <v>4340</v>
      </c>
    </row>
    <row r="204" spans="1:13" x14ac:dyDescent="0.25">
      <c r="A204" s="4" t="s">
        <v>297</v>
      </c>
      <c r="B204" s="8">
        <v>46124</v>
      </c>
      <c r="C204" s="4" t="s">
        <v>278</v>
      </c>
      <c r="D204" s="4" t="s">
        <v>24</v>
      </c>
      <c r="E204" s="4" t="s">
        <v>65</v>
      </c>
      <c r="F204" s="3">
        <v>29</v>
      </c>
      <c r="G204" s="2" t="str">
        <f>_xlfn.XLOOKUP(tblOrder[[#This Row],[Produktkod]], tblProd[Produktkod], tblProd[Produktnamn])</f>
        <v>Hydraulpump HP-200</v>
      </c>
      <c r="H204" s="2">
        <f>_xlfn.XLOOKUP(tblOrder[[#This Row],[Produktkod]], tblProd[Produktkod], tblProd[Styckpris])</f>
        <v>8900</v>
      </c>
      <c r="I204" s="2">
        <f>_xlfn.XLOOKUP(tblOrder[[#This Row],[Produktkod]], tblProd[Produktkod], tblProd[Självkostnad/st])</f>
        <v>5600</v>
      </c>
      <c r="J204" s="2" t="str">
        <f>_xlfn.XLOOKUP(tblOrder[[#This Row],[Kundkod]], tblKund[Kundkod], tblKund[Kund], "Okänd kund")</f>
        <v>Wärtsilä</v>
      </c>
      <c r="K204" s="2">
        <f>tblOrder[[#This Row],[Antal]]*tblOrder[[#This Row],[Styckpris]]</f>
        <v>258100</v>
      </c>
      <c r="L204" s="14">
        <f>_xlfn.XLOOKUP(tblOrder[[#This Row],[Antal]], tblRabatt[Min antal], tblRabatt[Rabattsats], , -1)</f>
        <v>0</v>
      </c>
      <c r="M204" s="19">
        <f t="shared" si="3"/>
        <v>95700</v>
      </c>
    </row>
    <row r="205" spans="1:13" x14ac:dyDescent="0.25">
      <c r="A205" s="4" t="s">
        <v>298</v>
      </c>
      <c r="B205" s="8">
        <v>46124</v>
      </c>
      <c r="C205" s="4" t="s">
        <v>278</v>
      </c>
      <c r="D205" s="4" t="s">
        <v>21</v>
      </c>
      <c r="E205" s="4" t="s">
        <v>74</v>
      </c>
      <c r="F205" s="3">
        <v>500</v>
      </c>
      <c r="G205" s="2" t="str">
        <f>_xlfn.XLOOKUP(tblOrder[[#This Row],[Produktkod]], tblProd[Produktkod], tblProd[Produktnamn])</f>
        <v>Hydraulcylinder HC-50</v>
      </c>
      <c r="H205" s="2">
        <f>_xlfn.XLOOKUP(tblOrder[[#This Row],[Produktkod]], tblProd[Produktkod], tblProd[Styckpris])</f>
        <v>4500</v>
      </c>
      <c r="I205" s="2">
        <f>_xlfn.XLOOKUP(tblOrder[[#This Row],[Produktkod]], tblProd[Produktkod], tblProd[Självkostnad/st])</f>
        <v>2800</v>
      </c>
      <c r="J205" s="2" t="str">
        <f>_xlfn.XLOOKUP(tblOrder[[#This Row],[Kundkod]], tblKund[Kundkod], tblKund[Kund], "Okänd kund")</f>
        <v>Nordic Parts AS</v>
      </c>
      <c r="K205" s="2">
        <f>tblOrder[[#This Row],[Antal]]*tblOrder[[#This Row],[Styckpris]]</f>
        <v>2250000</v>
      </c>
      <c r="L205" s="14">
        <f>_xlfn.XLOOKUP(tblOrder[[#This Row],[Antal]], tblRabatt[Min antal], tblRabatt[Rabattsats], , -1)</f>
        <v>0.12</v>
      </c>
      <c r="M205" s="19">
        <f t="shared" si="3"/>
        <v>850000</v>
      </c>
    </row>
    <row r="206" spans="1:13" x14ac:dyDescent="0.25">
      <c r="A206" s="4" t="s">
        <v>299</v>
      </c>
      <c r="B206" s="8">
        <v>46124</v>
      </c>
      <c r="C206" s="4" t="s">
        <v>278</v>
      </c>
      <c r="D206" s="4" t="s">
        <v>35</v>
      </c>
      <c r="E206" s="4" t="s">
        <v>68</v>
      </c>
      <c r="F206" s="3">
        <v>17</v>
      </c>
      <c r="G206" s="2" t="str">
        <f>_xlfn.XLOOKUP(tblOrder[[#This Row],[Produktkod]], tblProd[Produktkod], tblProd[Produktnamn])</f>
        <v>Styrenhet CU-X1</v>
      </c>
      <c r="H206" s="2">
        <f>_xlfn.XLOOKUP(tblOrder[[#This Row],[Produktkod]], tblProd[Produktkod], tblProd[Styckpris])</f>
        <v>12500</v>
      </c>
      <c r="I206" s="2">
        <f>_xlfn.XLOOKUP(tblOrder[[#This Row],[Produktkod]], tblProd[Produktkod], tblProd[Självkostnad/st])</f>
        <v>8200</v>
      </c>
      <c r="J206" s="2" t="str">
        <f>_xlfn.XLOOKUP(tblOrder[[#This Row],[Kundkod]], tblKund[Kundkod], tblKund[Kund], "Okänd kund")</f>
        <v>Bosch Rexroth</v>
      </c>
      <c r="K206" s="2">
        <f>tblOrder[[#This Row],[Antal]]*tblOrder[[#This Row],[Styckpris]]</f>
        <v>212500</v>
      </c>
      <c r="L206" s="14">
        <f>_xlfn.XLOOKUP(tblOrder[[#This Row],[Antal]], tblRabatt[Min antal], tblRabatt[Rabattsats], , -1)</f>
        <v>0</v>
      </c>
      <c r="M206" s="19">
        <f t="shared" si="3"/>
        <v>73100</v>
      </c>
    </row>
    <row r="207" spans="1:13" x14ac:dyDescent="0.25">
      <c r="A207" s="4" t="s">
        <v>300</v>
      </c>
      <c r="B207" s="8">
        <v>46124</v>
      </c>
      <c r="C207" s="4" t="s">
        <v>278</v>
      </c>
      <c r="D207" s="4" t="s">
        <v>47</v>
      </c>
      <c r="E207" s="4" t="s">
        <v>62</v>
      </c>
      <c r="F207" s="3">
        <v>636</v>
      </c>
      <c r="G207" s="2" t="str">
        <f>_xlfn.XLOOKUP(tblOrder[[#This Row],[Produktkod]], tblProd[Produktkod], tblProd[Produktnamn])</f>
        <v>Packningssats PS-3</v>
      </c>
      <c r="H207" s="2">
        <f>_xlfn.XLOOKUP(tblOrder[[#This Row],[Produktkod]], tblProd[Produktkod], tblProd[Styckpris])</f>
        <v>145</v>
      </c>
      <c r="I207" s="2">
        <f>_xlfn.XLOOKUP(tblOrder[[#This Row],[Produktkod]], tblProd[Produktkod], tblProd[Självkostnad/st])</f>
        <v>68</v>
      </c>
      <c r="J207" s="2" t="str">
        <f>_xlfn.XLOOKUP(tblOrder[[#This Row],[Kundkod]], tblKund[Kundkod], tblKund[Kund], "Okänd kund")</f>
        <v>Danfoss A/S</v>
      </c>
      <c r="K207" s="2">
        <f>tblOrder[[#This Row],[Antal]]*tblOrder[[#This Row],[Styckpris]]</f>
        <v>92220</v>
      </c>
      <c r="L207" s="14">
        <f>_xlfn.XLOOKUP(tblOrder[[#This Row],[Antal]], tblRabatt[Min antal], tblRabatt[Rabattsats], , -1)</f>
        <v>0.12</v>
      </c>
      <c r="M207" s="19">
        <f t="shared" si="3"/>
        <v>48972</v>
      </c>
    </row>
    <row r="208" spans="1:13" x14ac:dyDescent="0.25">
      <c r="A208" s="4" t="s">
        <v>301</v>
      </c>
      <c r="B208" s="8">
        <v>46125</v>
      </c>
      <c r="C208" s="4" t="s">
        <v>278</v>
      </c>
      <c r="D208" s="4" t="s">
        <v>26</v>
      </c>
      <c r="E208" s="4" t="s">
        <v>74</v>
      </c>
      <c r="F208" s="3">
        <v>233</v>
      </c>
      <c r="G208" s="2" t="str">
        <f>_xlfn.XLOOKUP(tblOrder[[#This Row],[Produktkod]], tblProd[Produktkod], tblProd[Produktnamn])</f>
        <v>Ventilblock VB-30</v>
      </c>
      <c r="H208" s="2">
        <f>_xlfn.XLOOKUP(tblOrder[[#This Row],[Produktkod]], tblProd[Produktkod], tblProd[Styckpris])</f>
        <v>3200</v>
      </c>
      <c r="I208" s="2">
        <f>_xlfn.XLOOKUP(tblOrder[[#This Row],[Produktkod]], tblProd[Produktkod], tblProd[Självkostnad/st])</f>
        <v>1950</v>
      </c>
      <c r="J208" s="2" t="str">
        <f>_xlfn.XLOOKUP(tblOrder[[#This Row],[Kundkod]], tblKund[Kundkod], tblKund[Kund], "Okänd kund")</f>
        <v>Nordic Parts AS</v>
      </c>
      <c r="K208" s="2">
        <f>tblOrder[[#This Row],[Antal]]*tblOrder[[#This Row],[Styckpris]]</f>
        <v>745600</v>
      </c>
      <c r="L208" s="14">
        <f>_xlfn.XLOOKUP(tblOrder[[#This Row],[Antal]], tblRabatt[Min antal], tblRabatt[Rabattsats], , -1)</f>
        <v>0.05</v>
      </c>
      <c r="M208" s="19">
        <f t="shared" si="3"/>
        <v>291250</v>
      </c>
    </row>
    <row r="209" spans="1:13" x14ac:dyDescent="0.25">
      <c r="A209" s="4" t="s">
        <v>302</v>
      </c>
      <c r="B209" s="8">
        <v>46125</v>
      </c>
      <c r="C209" s="4" t="s">
        <v>278</v>
      </c>
      <c r="D209" s="4" t="s">
        <v>26</v>
      </c>
      <c r="E209" s="4" t="s">
        <v>76</v>
      </c>
      <c r="F209" s="3">
        <v>10</v>
      </c>
      <c r="G209" s="2" t="str">
        <f>_xlfn.XLOOKUP(tblOrder[[#This Row],[Produktkod]], tblProd[Produktkod], tblProd[Produktnamn])</f>
        <v>Ventilblock VB-30</v>
      </c>
      <c r="H209" s="2">
        <f>_xlfn.XLOOKUP(tblOrder[[#This Row],[Produktkod]], tblProd[Produktkod], tblProd[Styckpris])</f>
        <v>3200</v>
      </c>
      <c r="I209" s="2">
        <f>_xlfn.XLOOKUP(tblOrder[[#This Row],[Produktkod]], tblProd[Produktkod], tblProd[Självkostnad/st])</f>
        <v>1950</v>
      </c>
      <c r="J209" s="2" t="str">
        <f>_xlfn.XLOOKUP(tblOrder[[#This Row],[Kundkod]], tblKund[Kundkod], tblKund[Kund], "Okänd kund")</f>
        <v>Maskin &amp; Verktyg</v>
      </c>
      <c r="K209" s="2">
        <f>tblOrder[[#This Row],[Antal]]*tblOrder[[#This Row],[Styckpris]]</f>
        <v>32000</v>
      </c>
      <c r="L209" s="14">
        <f>_xlfn.XLOOKUP(tblOrder[[#This Row],[Antal]], tblRabatt[Min antal], tblRabatt[Rabattsats], , -1)</f>
        <v>0</v>
      </c>
      <c r="M209" s="19">
        <f t="shared" si="3"/>
        <v>12500</v>
      </c>
    </row>
    <row r="210" spans="1:13" x14ac:dyDescent="0.25">
      <c r="A210" s="4" t="s">
        <v>303</v>
      </c>
      <c r="B210" s="8">
        <v>46126</v>
      </c>
      <c r="C210" s="4" t="s">
        <v>278</v>
      </c>
      <c r="D210" s="4" t="s">
        <v>42</v>
      </c>
      <c r="E210" s="4" t="s">
        <v>76</v>
      </c>
      <c r="F210" s="3">
        <v>571</v>
      </c>
      <c r="G210" s="2" t="str">
        <f>_xlfn.XLOOKUP(tblOrder[[#This Row],[Produktkod]], tblProd[Produktkod], tblProd[Produktnamn])</f>
        <v>Lagersats LS-22</v>
      </c>
      <c r="H210" s="2">
        <f>_xlfn.XLOOKUP(tblOrder[[#This Row],[Produktkod]], tblProd[Produktkod], tblProd[Styckpris])</f>
        <v>650</v>
      </c>
      <c r="I210" s="2">
        <f>_xlfn.XLOOKUP(tblOrder[[#This Row],[Produktkod]], tblProd[Produktkod], tblProd[Självkostnad/st])</f>
        <v>380</v>
      </c>
      <c r="J210" s="2" t="str">
        <f>_xlfn.XLOOKUP(tblOrder[[#This Row],[Kundkod]], tblKund[Kundkod], tblKund[Kund], "Okänd kund")</f>
        <v>Maskin &amp; Verktyg</v>
      </c>
      <c r="K210" s="2">
        <f>tblOrder[[#This Row],[Antal]]*tblOrder[[#This Row],[Styckpris]]</f>
        <v>371150</v>
      </c>
      <c r="L210" s="14">
        <f>_xlfn.XLOOKUP(tblOrder[[#This Row],[Antal]], tblRabatt[Min antal], tblRabatt[Rabattsats], , -1)</f>
        <v>0.12</v>
      </c>
      <c r="M210" s="19">
        <f t="shared" si="3"/>
        <v>154170</v>
      </c>
    </row>
    <row r="211" spans="1:13" x14ac:dyDescent="0.25">
      <c r="A211" s="4" t="s">
        <v>304</v>
      </c>
      <c r="B211" s="8">
        <v>46126</v>
      </c>
      <c r="C211" s="4" t="s">
        <v>278</v>
      </c>
      <c r="D211" s="4" t="s">
        <v>42</v>
      </c>
      <c r="E211" s="4" t="s">
        <v>62</v>
      </c>
      <c r="F211" s="3">
        <v>107</v>
      </c>
      <c r="G211" s="2" t="str">
        <f>_xlfn.XLOOKUP(tblOrder[[#This Row],[Produktkod]], tblProd[Produktkod], tblProd[Produktnamn])</f>
        <v>Lagersats LS-22</v>
      </c>
      <c r="H211" s="2">
        <f>_xlfn.XLOOKUP(tblOrder[[#This Row],[Produktkod]], tblProd[Produktkod], tblProd[Styckpris])</f>
        <v>650</v>
      </c>
      <c r="I211" s="2">
        <f>_xlfn.XLOOKUP(tblOrder[[#This Row],[Produktkod]], tblProd[Produktkod], tblProd[Självkostnad/st])</f>
        <v>380</v>
      </c>
      <c r="J211" s="2" t="str">
        <f>_xlfn.XLOOKUP(tblOrder[[#This Row],[Kundkod]], tblKund[Kundkod], tblKund[Kund], "Okänd kund")</f>
        <v>Danfoss A/S</v>
      </c>
      <c r="K211" s="2">
        <f>tblOrder[[#This Row],[Antal]]*tblOrder[[#This Row],[Styckpris]]</f>
        <v>69550</v>
      </c>
      <c r="L211" s="14">
        <f>_xlfn.XLOOKUP(tblOrder[[#This Row],[Antal]], tblRabatt[Min antal], tblRabatt[Rabattsats], , -1)</f>
        <v>0.05</v>
      </c>
      <c r="M211" s="19">
        <f t="shared" si="3"/>
        <v>28890</v>
      </c>
    </row>
    <row r="212" spans="1:13" x14ac:dyDescent="0.25">
      <c r="A212" s="4" t="s">
        <v>305</v>
      </c>
      <c r="B212" s="8">
        <v>46126</v>
      </c>
      <c r="C212" s="4" t="s">
        <v>278</v>
      </c>
      <c r="D212" s="4" t="s">
        <v>28</v>
      </c>
      <c r="E212" s="4" t="s">
        <v>76</v>
      </c>
      <c r="F212" s="3">
        <v>80</v>
      </c>
      <c r="G212" s="2" t="str">
        <f>_xlfn.XLOOKUP(tblOrder[[#This Row],[Produktkod]], tblProd[Produktkod], tblProd[Produktnamn])</f>
        <v>Montagesats MS-10</v>
      </c>
      <c r="H212" s="2">
        <f>_xlfn.XLOOKUP(tblOrder[[#This Row],[Produktkod]], tblProd[Produktkod], tblProd[Styckpris])</f>
        <v>1250</v>
      </c>
      <c r="I212" s="2">
        <f>_xlfn.XLOOKUP(tblOrder[[#This Row],[Produktkod]], tblProd[Produktkod], tblProd[Självkostnad/st])</f>
        <v>720</v>
      </c>
      <c r="J212" s="2" t="str">
        <f>_xlfn.XLOOKUP(tblOrder[[#This Row],[Kundkod]], tblKund[Kundkod], tblKund[Kund], "Okänd kund")</f>
        <v>Maskin &amp; Verktyg</v>
      </c>
      <c r="K212" s="2">
        <f>tblOrder[[#This Row],[Antal]]*tblOrder[[#This Row],[Styckpris]]</f>
        <v>100000</v>
      </c>
      <c r="L212" s="14">
        <f>_xlfn.XLOOKUP(tblOrder[[#This Row],[Antal]], tblRabatt[Min antal], tblRabatt[Rabattsats], , -1)</f>
        <v>0.03</v>
      </c>
      <c r="M212" s="19">
        <f t="shared" si="3"/>
        <v>42400</v>
      </c>
    </row>
    <row r="213" spans="1:13" x14ac:dyDescent="0.25">
      <c r="A213" s="4" t="s">
        <v>306</v>
      </c>
      <c r="B213" s="8">
        <v>46126</v>
      </c>
      <c r="C213" s="4" t="s">
        <v>278</v>
      </c>
      <c r="D213" s="4" t="s">
        <v>35</v>
      </c>
      <c r="E213" s="4" t="s">
        <v>71</v>
      </c>
      <c r="F213" s="3">
        <v>493</v>
      </c>
      <c r="G213" s="2" t="str">
        <f>_xlfn.XLOOKUP(tblOrder[[#This Row],[Produktkod]], tblProd[Produktkod], tblProd[Produktnamn])</f>
        <v>Styrenhet CU-X1</v>
      </c>
      <c r="H213" s="2">
        <f>_xlfn.XLOOKUP(tblOrder[[#This Row],[Produktkod]], tblProd[Produktkod], tblProd[Styckpris])</f>
        <v>12500</v>
      </c>
      <c r="I213" s="2">
        <f>_xlfn.XLOOKUP(tblOrder[[#This Row],[Produktkod]], tblProd[Produktkod], tblProd[Självkostnad/st])</f>
        <v>8200</v>
      </c>
      <c r="J213" s="2" t="str">
        <f>_xlfn.XLOOKUP(tblOrder[[#This Row],[Kundkod]], tblKund[Kundkod], tblKund[Kund], "Okänd kund")</f>
        <v>Hydraul-Service AB</v>
      </c>
      <c r="K213" s="2">
        <f>tblOrder[[#This Row],[Antal]]*tblOrder[[#This Row],[Styckpris]]</f>
        <v>6162500</v>
      </c>
      <c r="L213" s="14">
        <f>_xlfn.XLOOKUP(tblOrder[[#This Row],[Antal]], tblRabatt[Min antal], tblRabatt[Rabattsats], , -1)</f>
        <v>0.08</v>
      </c>
      <c r="M213" s="19">
        <f t="shared" si="3"/>
        <v>2119900</v>
      </c>
    </row>
    <row r="214" spans="1:13" x14ac:dyDescent="0.25">
      <c r="A214" s="4" t="s">
        <v>307</v>
      </c>
      <c r="B214" s="8">
        <v>46126</v>
      </c>
      <c r="C214" s="4" t="s">
        <v>278</v>
      </c>
      <c r="D214" s="4" t="s">
        <v>35</v>
      </c>
      <c r="E214" s="4" t="s">
        <v>59</v>
      </c>
      <c r="F214" s="3">
        <v>93</v>
      </c>
      <c r="G214" s="2" t="str">
        <f>_xlfn.XLOOKUP(tblOrder[[#This Row],[Produktkod]], tblProd[Produktkod], tblProd[Produktnamn])</f>
        <v>Styrenhet CU-X1</v>
      </c>
      <c r="H214" s="2">
        <f>_xlfn.XLOOKUP(tblOrder[[#This Row],[Produktkod]], tblProd[Produktkod], tblProd[Styckpris])</f>
        <v>12500</v>
      </c>
      <c r="I214" s="2">
        <f>_xlfn.XLOOKUP(tblOrder[[#This Row],[Produktkod]], tblProd[Produktkod], tblProd[Självkostnad/st])</f>
        <v>8200</v>
      </c>
      <c r="J214" s="2" t="str">
        <f>_xlfn.XLOOKUP(tblOrder[[#This Row],[Kundkod]], tblKund[Kundkod], tblKund[Kund], "Okänd kund")</f>
        <v>Kongsberg Automotive</v>
      </c>
      <c r="K214" s="2">
        <f>tblOrder[[#This Row],[Antal]]*tblOrder[[#This Row],[Styckpris]]</f>
        <v>1162500</v>
      </c>
      <c r="L214" s="14">
        <f>_xlfn.XLOOKUP(tblOrder[[#This Row],[Antal]], tblRabatt[Min antal], tblRabatt[Rabattsats], , -1)</f>
        <v>0.03</v>
      </c>
      <c r="M214" s="19">
        <f t="shared" si="3"/>
        <v>399900</v>
      </c>
    </row>
    <row r="215" spans="1:13" x14ac:dyDescent="0.25">
      <c r="A215" s="4" t="s">
        <v>308</v>
      </c>
      <c r="B215" s="8">
        <v>46127</v>
      </c>
      <c r="C215" s="4" t="s">
        <v>278</v>
      </c>
      <c r="D215" s="4" t="s">
        <v>33</v>
      </c>
      <c r="E215" s="4" t="s">
        <v>71</v>
      </c>
      <c r="F215" s="3">
        <v>57</v>
      </c>
      <c r="G215" s="2" t="str">
        <f>_xlfn.XLOOKUP(tblOrder[[#This Row],[Produktkod]], tblProd[Produktkod], tblProd[Produktnamn])</f>
        <v>Skruvkit SK-100</v>
      </c>
      <c r="H215" s="2">
        <f>_xlfn.XLOOKUP(tblOrder[[#This Row],[Produktkod]], tblProd[Produktkod], tblProd[Styckpris])</f>
        <v>320</v>
      </c>
      <c r="I215" s="2">
        <f>_xlfn.XLOOKUP(tblOrder[[#This Row],[Produktkod]], tblProd[Produktkod], tblProd[Självkostnad/st])</f>
        <v>165</v>
      </c>
      <c r="J215" s="2" t="str">
        <f>_xlfn.XLOOKUP(tblOrder[[#This Row],[Kundkod]], tblKund[Kundkod], tblKund[Kund], "Okänd kund")</f>
        <v>Hydraul-Service AB</v>
      </c>
      <c r="K215" s="2">
        <f>tblOrder[[#This Row],[Antal]]*tblOrder[[#This Row],[Styckpris]]</f>
        <v>18240</v>
      </c>
      <c r="L215" s="14">
        <f>_xlfn.XLOOKUP(tblOrder[[#This Row],[Antal]], tblRabatt[Min antal], tblRabatt[Rabattsats], , -1)</f>
        <v>0.03</v>
      </c>
      <c r="M215" s="19">
        <f t="shared" si="3"/>
        <v>8835</v>
      </c>
    </row>
    <row r="216" spans="1:13" x14ac:dyDescent="0.25">
      <c r="A216" s="4" t="s">
        <v>309</v>
      </c>
      <c r="B216" s="8">
        <v>46127</v>
      </c>
      <c r="C216" s="4" t="s">
        <v>278</v>
      </c>
      <c r="D216" s="4" t="s">
        <v>21</v>
      </c>
      <c r="E216" s="4" t="s">
        <v>65</v>
      </c>
      <c r="F216" s="3">
        <v>10</v>
      </c>
      <c r="G216" s="2" t="str">
        <f>_xlfn.XLOOKUP(tblOrder[[#This Row],[Produktkod]], tblProd[Produktkod], tblProd[Produktnamn])</f>
        <v>Hydraulcylinder HC-50</v>
      </c>
      <c r="H216" s="2">
        <f>_xlfn.XLOOKUP(tblOrder[[#This Row],[Produktkod]], tblProd[Produktkod], tblProd[Styckpris])</f>
        <v>4500</v>
      </c>
      <c r="I216" s="2">
        <f>_xlfn.XLOOKUP(tblOrder[[#This Row],[Produktkod]], tblProd[Produktkod], tblProd[Självkostnad/st])</f>
        <v>2800</v>
      </c>
      <c r="J216" s="2" t="str">
        <f>_xlfn.XLOOKUP(tblOrder[[#This Row],[Kundkod]], tblKund[Kundkod], tblKund[Kund], "Okänd kund")</f>
        <v>Wärtsilä</v>
      </c>
      <c r="K216" s="2">
        <f>tblOrder[[#This Row],[Antal]]*tblOrder[[#This Row],[Styckpris]]</f>
        <v>45000</v>
      </c>
      <c r="L216" s="14">
        <f>_xlfn.XLOOKUP(tblOrder[[#This Row],[Antal]], tblRabatt[Min antal], tblRabatt[Rabattsats], , -1)</f>
        <v>0</v>
      </c>
      <c r="M216" s="19">
        <f t="shared" si="3"/>
        <v>17000</v>
      </c>
    </row>
    <row r="217" spans="1:13" x14ac:dyDescent="0.25">
      <c r="A217" s="4" t="s">
        <v>310</v>
      </c>
      <c r="B217" s="8">
        <v>46128</v>
      </c>
      <c r="C217" s="4" t="s">
        <v>278</v>
      </c>
      <c r="D217" s="4" t="s">
        <v>33</v>
      </c>
      <c r="E217" s="4" t="s">
        <v>76</v>
      </c>
      <c r="F217" s="3">
        <v>217</v>
      </c>
      <c r="G217" s="2" t="str">
        <f>_xlfn.XLOOKUP(tblOrder[[#This Row],[Produktkod]], tblProd[Produktkod], tblProd[Produktnamn])</f>
        <v>Skruvkit SK-100</v>
      </c>
      <c r="H217" s="2">
        <f>_xlfn.XLOOKUP(tblOrder[[#This Row],[Produktkod]], tblProd[Produktkod], tblProd[Styckpris])</f>
        <v>320</v>
      </c>
      <c r="I217" s="2">
        <f>_xlfn.XLOOKUP(tblOrder[[#This Row],[Produktkod]], tblProd[Produktkod], tblProd[Självkostnad/st])</f>
        <v>165</v>
      </c>
      <c r="J217" s="2" t="str">
        <f>_xlfn.XLOOKUP(tblOrder[[#This Row],[Kundkod]], tblKund[Kundkod], tblKund[Kund], "Okänd kund")</f>
        <v>Maskin &amp; Verktyg</v>
      </c>
      <c r="K217" s="2">
        <f>tblOrder[[#This Row],[Antal]]*tblOrder[[#This Row],[Styckpris]]</f>
        <v>69440</v>
      </c>
      <c r="L217" s="14">
        <f>_xlfn.XLOOKUP(tblOrder[[#This Row],[Antal]], tblRabatt[Min antal], tblRabatt[Rabattsats], , -1)</f>
        <v>0.05</v>
      </c>
      <c r="M217" s="19">
        <f t="shared" si="3"/>
        <v>33635</v>
      </c>
    </row>
    <row r="218" spans="1:13" x14ac:dyDescent="0.25">
      <c r="A218" s="4" t="s">
        <v>311</v>
      </c>
      <c r="B218" s="8">
        <v>46129</v>
      </c>
      <c r="C218" s="4" t="s">
        <v>278</v>
      </c>
      <c r="D218" s="4" t="s">
        <v>33</v>
      </c>
      <c r="E218" s="4" t="s">
        <v>79</v>
      </c>
      <c r="F218" s="3">
        <v>12</v>
      </c>
      <c r="G218" s="2" t="str">
        <f>_xlfn.XLOOKUP(tblOrder[[#This Row],[Produktkod]], tblProd[Produktkod], tblProd[Produktnamn])</f>
        <v>Skruvkit SK-100</v>
      </c>
      <c r="H218" s="2">
        <f>_xlfn.XLOOKUP(tblOrder[[#This Row],[Produktkod]], tblProd[Produktkod], tblProd[Styckpris])</f>
        <v>320</v>
      </c>
      <c r="I218" s="2">
        <f>_xlfn.XLOOKUP(tblOrder[[#This Row],[Produktkod]], tblProd[Produktkod], tblProd[Självkostnad/st])</f>
        <v>165</v>
      </c>
      <c r="J218" s="2" t="str">
        <f>_xlfn.XLOOKUP(tblOrder[[#This Row],[Kundkod]], tblKund[Kundkod], tblKund[Kund], "Okänd kund")</f>
        <v>Industrikomponenter</v>
      </c>
      <c r="K218" s="2">
        <f>tblOrder[[#This Row],[Antal]]*tblOrder[[#This Row],[Styckpris]]</f>
        <v>3840</v>
      </c>
      <c r="L218" s="14">
        <f>_xlfn.XLOOKUP(tblOrder[[#This Row],[Antal]], tblRabatt[Min antal], tblRabatt[Rabattsats], , -1)</f>
        <v>0</v>
      </c>
      <c r="M218" s="19">
        <f t="shared" si="3"/>
        <v>1860</v>
      </c>
    </row>
    <row r="219" spans="1:13" x14ac:dyDescent="0.25">
      <c r="A219" s="4" t="s">
        <v>312</v>
      </c>
      <c r="B219" s="8">
        <v>46129</v>
      </c>
      <c r="C219" s="4" t="s">
        <v>278</v>
      </c>
      <c r="D219" s="4" t="s">
        <v>38</v>
      </c>
      <c r="E219" s="4" t="s">
        <v>65</v>
      </c>
      <c r="F219" s="3">
        <v>22</v>
      </c>
      <c r="G219" s="2" t="str">
        <f>_xlfn.XLOOKUP(tblOrder[[#This Row],[Produktkod]], tblProd[Produktkod], tblProd[Produktnamn])</f>
        <v>Sensor S-45</v>
      </c>
      <c r="H219" s="2">
        <f>_xlfn.XLOOKUP(tblOrder[[#This Row],[Produktkod]], tblProd[Produktkod], tblProd[Styckpris])</f>
        <v>2100</v>
      </c>
      <c r="I219" s="2">
        <f>_xlfn.XLOOKUP(tblOrder[[#This Row],[Produktkod]], tblProd[Produktkod], tblProd[Självkostnad/st])</f>
        <v>1180</v>
      </c>
      <c r="J219" s="2" t="str">
        <f>_xlfn.XLOOKUP(tblOrder[[#This Row],[Kundkod]], tblKund[Kundkod], tblKund[Kund], "Okänd kund")</f>
        <v>Wärtsilä</v>
      </c>
      <c r="K219" s="2">
        <f>tblOrder[[#This Row],[Antal]]*tblOrder[[#This Row],[Styckpris]]</f>
        <v>46200</v>
      </c>
      <c r="L219" s="14">
        <f>_xlfn.XLOOKUP(tblOrder[[#This Row],[Antal]], tblRabatt[Min antal], tblRabatt[Rabattsats], , -1)</f>
        <v>0</v>
      </c>
      <c r="M219" s="19">
        <f t="shared" si="3"/>
        <v>20240</v>
      </c>
    </row>
    <row r="220" spans="1:13" x14ac:dyDescent="0.25">
      <c r="A220" s="4" t="s">
        <v>313</v>
      </c>
      <c r="B220" s="8">
        <v>46130</v>
      </c>
      <c r="C220" s="4" t="s">
        <v>278</v>
      </c>
      <c r="D220" s="4" t="s">
        <v>40</v>
      </c>
      <c r="E220" s="4" t="s">
        <v>79</v>
      </c>
      <c r="F220" s="3">
        <v>756</v>
      </c>
      <c r="G220" s="2" t="str">
        <f>_xlfn.XLOOKUP(tblOrder[[#This Row],[Produktkod]], tblProd[Produktkod], tblProd[Produktnamn])</f>
        <v>Kabelhärva KH-7</v>
      </c>
      <c r="H220" s="2">
        <f>_xlfn.XLOOKUP(tblOrder[[#This Row],[Produktkod]], tblProd[Produktkod], tblProd[Styckpris])</f>
        <v>890</v>
      </c>
      <c r="I220" s="2">
        <f>_xlfn.XLOOKUP(tblOrder[[#This Row],[Produktkod]], tblProd[Produktkod], tblProd[Självkostnad/st])</f>
        <v>510</v>
      </c>
      <c r="J220" s="2" t="str">
        <f>_xlfn.XLOOKUP(tblOrder[[#This Row],[Kundkod]], tblKund[Kundkod], tblKund[Kund], "Okänd kund")</f>
        <v>Industrikomponenter</v>
      </c>
      <c r="K220" s="2">
        <f>tblOrder[[#This Row],[Antal]]*tblOrder[[#This Row],[Styckpris]]</f>
        <v>672840</v>
      </c>
      <c r="L220" s="14">
        <f>_xlfn.XLOOKUP(tblOrder[[#This Row],[Antal]], tblRabatt[Min antal], tblRabatt[Rabattsats], , -1)</f>
        <v>0.12</v>
      </c>
      <c r="M220" s="19">
        <f t="shared" si="3"/>
        <v>287280</v>
      </c>
    </row>
    <row r="221" spans="1:13" x14ac:dyDescent="0.25">
      <c r="A221" s="4" t="s">
        <v>314</v>
      </c>
      <c r="B221" s="8">
        <v>46130</v>
      </c>
      <c r="C221" s="4" t="s">
        <v>278</v>
      </c>
      <c r="D221" s="4" t="s">
        <v>28</v>
      </c>
      <c r="E221" s="4" t="s">
        <v>65</v>
      </c>
      <c r="F221" s="3">
        <v>27</v>
      </c>
      <c r="G221" s="2" t="str">
        <f>_xlfn.XLOOKUP(tblOrder[[#This Row],[Produktkod]], tblProd[Produktkod], tblProd[Produktnamn])</f>
        <v>Montagesats MS-10</v>
      </c>
      <c r="H221" s="2">
        <f>_xlfn.XLOOKUP(tblOrder[[#This Row],[Produktkod]], tblProd[Produktkod], tblProd[Styckpris])</f>
        <v>1250</v>
      </c>
      <c r="I221" s="2">
        <f>_xlfn.XLOOKUP(tblOrder[[#This Row],[Produktkod]], tblProd[Produktkod], tblProd[Självkostnad/st])</f>
        <v>720</v>
      </c>
      <c r="J221" s="2" t="str">
        <f>_xlfn.XLOOKUP(tblOrder[[#This Row],[Kundkod]], tblKund[Kundkod], tblKund[Kund], "Okänd kund")</f>
        <v>Wärtsilä</v>
      </c>
      <c r="K221" s="2">
        <f>tblOrder[[#This Row],[Antal]]*tblOrder[[#This Row],[Styckpris]]</f>
        <v>33750</v>
      </c>
      <c r="L221" s="14">
        <f>_xlfn.XLOOKUP(tblOrder[[#This Row],[Antal]], tblRabatt[Min antal], tblRabatt[Rabattsats], , -1)</f>
        <v>0</v>
      </c>
      <c r="M221" s="19">
        <f t="shared" si="3"/>
        <v>14310</v>
      </c>
    </row>
    <row r="222" spans="1:13" x14ac:dyDescent="0.25">
      <c r="A222" s="4" t="s">
        <v>315</v>
      </c>
      <c r="B222" s="8">
        <v>46131</v>
      </c>
      <c r="C222" s="4" t="s">
        <v>278</v>
      </c>
      <c r="D222" s="4" t="s">
        <v>38</v>
      </c>
      <c r="E222" s="4" t="s">
        <v>65</v>
      </c>
      <c r="F222" s="3">
        <v>65</v>
      </c>
      <c r="G222" s="2" t="str">
        <f>_xlfn.XLOOKUP(tblOrder[[#This Row],[Produktkod]], tblProd[Produktkod], tblProd[Produktnamn])</f>
        <v>Sensor S-45</v>
      </c>
      <c r="H222" s="2">
        <f>_xlfn.XLOOKUP(tblOrder[[#This Row],[Produktkod]], tblProd[Produktkod], tblProd[Styckpris])</f>
        <v>2100</v>
      </c>
      <c r="I222" s="2">
        <f>_xlfn.XLOOKUP(tblOrder[[#This Row],[Produktkod]], tblProd[Produktkod], tblProd[Självkostnad/st])</f>
        <v>1180</v>
      </c>
      <c r="J222" s="2" t="str">
        <f>_xlfn.XLOOKUP(tblOrder[[#This Row],[Kundkod]], tblKund[Kundkod], tblKund[Kund], "Okänd kund")</f>
        <v>Wärtsilä</v>
      </c>
      <c r="K222" s="2">
        <f>tblOrder[[#This Row],[Antal]]*tblOrder[[#This Row],[Styckpris]]</f>
        <v>136500</v>
      </c>
      <c r="L222" s="14">
        <f>_xlfn.XLOOKUP(tblOrder[[#This Row],[Antal]], tblRabatt[Min antal], tblRabatt[Rabattsats], , -1)</f>
        <v>0.03</v>
      </c>
      <c r="M222" s="19">
        <f t="shared" si="3"/>
        <v>59800</v>
      </c>
    </row>
    <row r="223" spans="1:13" x14ac:dyDescent="0.25">
      <c r="A223" s="4" t="s">
        <v>316</v>
      </c>
      <c r="B223" s="8">
        <v>46131</v>
      </c>
      <c r="C223" s="4" t="s">
        <v>278</v>
      </c>
      <c r="D223" s="4" t="s">
        <v>31</v>
      </c>
      <c r="E223" s="4" t="s">
        <v>53</v>
      </c>
      <c r="F223" s="3">
        <v>269</v>
      </c>
      <c r="G223" s="2" t="str">
        <f>_xlfn.XLOOKUP(tblOrder[[#This Row],[Produktkod]], tblProd[Produktkod], tblProd[Produktnamn])</f>
        <v>Fästplatta FP-A4</v>
      </c>
      <c r="H223" s="2">
        <f>_xlfn.XLOOKUP(tblOrder[[#This Row],[Produktkod]], tblProd[Produktkod], tblProd[Styckpris])</f>
        <v>480</v>
      </c>
      <c r="I223" s="2">
        <f>_xlfn.XLOOKUP(tblOrder[[#This Row],[Produktkod]], tblProd[Produktkod], tblProd[Självkostnad/st])</f>
        <v>260</v>
      </c>
      <c r="J223" s="2" t="str">
        <f>_xlfn.XLOOKUP(tblOrder[[#This Row],[Kundkod]], tblKund[Kundkod], tblKund[Kund], "Okänd kund")</f>
        <v>Volvo Lastvagnar</v>
      </c>
      <c r="K223" s="2">
        <f>tblOrder[[#This Row],[Antal]]*tblOrder[[#This Row],[Styckpris]]</f>
        <v>129120</v>
      </c>
      <c r="L223" s="14">
        <f>_xlfn.XLOOKUP(tblOrder[[#This Row],[Antal]], tblRabatt[Min antal], tblRabatt[Rabattsats], , -1)</f>
        <v>0.08</v>
      </c>
      <c r="M223" s="19">
        <f t="shared" si="3"/>
        <v>59180</v>
      </c>
    </row>
    <row r="224" spans="1:13" x14ac:dyDescent="0.25">
      <c r="A224" s="4" t="s">
        <v>317</v>
      </c>
      <c r="B224" s="8">
        <v>46131</v>
      </c>
      <c r="C224" s="4" t="s">
        <v>278</v>
      </c>
      <c r="D224" s="4" t="s">
        <v>45</v>
      </c>
      <c r="E224" s="4" t="s">
        <v>71</v>
      </c>
      <c r="F224" s="3">
        <v>11</v>
      </c>
      <c r="G224" s="2" t="str">
        <f>_xlfn.XLOOKUP(tblOrder[[#This Row],[Produktkod]], tblProd[Produktkod], tblProd[Produktnamn])</f>
        <v>Tätningskit TK-9</v>
      </c>
      <c r="H224" s="2">
        <f>_xlfn.XLOOKUP(tblOrder[[#This Row],[Produktkod]], tblProd[Produktkod], tblProd[Styckpris])</f>
        <v>210</v>
      </c>
      <c r="I224" s="2">
        <f>_xlfn.XLOOKUP(tblOrder[[#This Row],[Produktkod]], tblProd[Produktkod], tblProd[Självkostnad/st])</f>
        <v>95</v>
      </c>
      <c r="J224" s="2" t="str">
        <f>_xlfn.XLOOKUP(tblOrder[[#This Row],[Kundkod]], tblKund[Kundkod], tblKund[Kund], "Okänd kund")</f>
        <v>Hydraul-Service AB</v>
      </c>
      <c r="K224" s="2">
        <f>tblOrder[[#This Row],[Antal]]*tblOrder[[#This Row],[Styckpris]]</f>
        <v>2310</v>
      </c>
      <c r="L224" s="14">
        <f>_xlfn.XLOOKUP(tblOrder[[#This Row],[Antal]], tblRabatt[Min antal], tblRabatt[Rabattsats], , -1)</f>
        <v>0</v>
      </c>
      <c r="M224" s="19">
        <f t="shared" si="3"/>
        <v>1265</v>
      </c>
    </row>
    <row r="225" spans="1:13" x14ac:dyDescent="0.25">
      <c r="A225" s="4" t="s">
        <v>318</v>
      </c>
      <c r="B225" s="8">
        <v>46131</v>
      </c>
      <c r="C225" s="4" t="s">
        <v>278</v>
      </c>
      <c r="D225" s="4" t="s">
        <v>38</v>
      </c>
      <c r="E225" s="4" t="s">
        <v>68</v>
      </c>
      <c r="F225" s="3">
        <v>31</v>
      </c>
      <c r="G225" s="2" t="str">
        <f>_xlfn.XLOOKUP(tblOrder[[#This Row],[Produktkod]], tblProd[Produktkod], tblProd[Produktnamn])</f>
        <v>Sensor S-45</v>
      </c>
      <c r="H225" s="2">
        <f>_xlfn.XLOOKUP(tblOrder[[#This Row],[Produktkod]], tblProd[Produktkod], tblProd[Styckpris])</f>
        <v>2100</v>
      </c>
      <c r="I225" s="2">
        <f>_xlfn.XLOOKUP(tblOrder[[#This Row],[Produktkod]], tblProd[Produktkod], tblProd[Självkostnad/st])</f>
        <v>1180</v>
      </c>
      <c r="J225" s="2" t="str">
        <f>_xlfn.XLOOKUP(tblOrder[[#This Row],[Kundkod]], tblKund[Kundkod], tblKund[Kund], "Okänd kund")</f>
        <v>Bosch Rexroth</v>
      </c>
      <c r="K225" s="2">
        <f>tblOrder[[#This Row],[Antal]]*tblOrder[[#This Row],[Styckpris]]</f>
        <v>65100</v>
      </c>
      <c r="L225" s="14">
        <f>_xlfn.XLOOKUP(tblOrder[[#This Row],[Antal]], tblRabatt[Min antal], tblRabatt[Rabattsats], , -1)</f>
        <v>0</v>
      </c>
      <c r="M225" s="19">
        <f t="shared" si="3"/>
        <v>28520</v>
      </c>
    </row>
    <row r="226" spans="1:13" x14ac:dyDescent="0.25">
      <c r="A226" s="4" t="s">
        <v>319</v>
      </c>
      <c r="B226" s="8">
        <v>46131</v>
      </c>
      <c r="C226" s="4" t="s">
        <v>278</v>
      </c>
      <c r="D226" s="4" t="s">
        <v>47</v>
      </c>
      <c r="E226" s="4" t="s">
        <v>71</v>
      </c>
      <c r="F226" s="3">
        <v>39</v>
      </c>
      <c r="G226" s="2" t="str">
        <f>_xlfn.XLOOKUP(tblOrder[[#This Row],[Produktkod]], tblProd[Produktkod], tblProd[Produktnamn])</f>
        <v>Packningssats PS-3</v>
      </c>
      <c r="H226" s="2">
        <f>_xlfn.XLOOKUP(tblOrder[[#This Row],[Produktkod]], tblProd[Produktkod], tblProd[Styckpris])</f>
        <v>145</v>
      </c>
      <c r="I226" s="2">
        <f>_xlfn.XLOOKUP(tblOrder[[#This Row],[Produktkod]], tblProd[Produktkod], tblProd[Självkostnad/st])</f>
        <v>68</v>
      </c>
      <c r="J226" s="2" t="str">
        <f>_xlfn.XLOOKUP(tblOrder[[#This Row],[Kundkod]], tblKund[Kundkod], tblKund[Kund], "Okänd kund")</f>
        <v>Hydraul-Service AB</v>
      </c>
      <c r="K226" s="2">
        <f>tblOrder[[#This Row],[Antal]]*tblOrder[[#This Row],[Styckpris]]</f>
        <v>5655</v>
      </c>
      <c r="L226" s="14">
        <f>_xlfn.XLOOKUP(tblOrder[[#This Row],[Antal]], tblRabatt[Min antal], tblRabatt[Rabattsats], , -1)</f>
        <v>0</v>
      </c>
      <c r="M226" s="19">
        <f t="shared" si="3"/>
        <v>3003</v>
      </c>
    </row>
    <row r="227" spans="1:13" x14ac:dyDescent="0.25">
      <c r="A227" s="4" t="s">
        <v>320</v>
      </c>
      <c r="B227" s="8">
        <v>46131</v>
      </c>
      <c r="C227" s="4" t="s">
        <v>278</v>
      </c>
      <c r="D227" s="4" t="s">
        <v>28</v>
      </c>
      <c r="E227" s="4" t="s">
        <v>57</v>
      </c>
      <c r="F227" s="3">
        <v>37</v>
      </c>
      <c r="G227" s="2" t="str">
        <f>_xlfn.XLOOKUP(tblOrder[[#This Row],[Produktkod]], tblProd[Produktkod], tblProd[Produktnamn])</f>
        <v>Montagesats MS-10</v>
      </c>
      <c r="H227" s="2">
        <f>_xlfn.XLOOKUP(tblOrder[[#This Row],[Produktkod]], tblProd[Produktkod], tblProd[Styckpris])</f>
        <v>1250</v>
      </c>
      <c r="I227" s="2">
        <f>_xlfn.XLOOKUP(tblOrder[[#This Row],[Produktkod]], tblProd[Produktkod], tblProd[Självkostnad/st])</f>
        <v>720</v>
      </c>
      <c r="J227" s="2" t="str">
        <f>_xlfn.XLOOKUP(tblOrder[[#This Row],[Kundkod]], tblKund[Kundkod], tblKund[Kund], "Okänd kund")</f>
        <v>Scania CV</v>
      </c>
      <c r="K227" s="2">
        <f>tblOrder[[#This Row],[Antal]]*tblOrder[[#This Row],[Styckpris]]</f>
        <v>46250</v>
      </c>
      <c r="L227" s="14">
        <f>_xlfn.XLOOKUP(tblOrder[[#This Row],[Antal]], tblRabatt[Min antal], tblRabatt[Rabattsats], , -1)</f>
        <v>0</v>
      </c>
      <c r="M227" s="19">
        <f t="shared" si="3"/>
        <v>19610</v>
      </c>
    </row>
    <row r="228" spans="1:13" x14ac:dyDescent="0.25">
      <c r="A228" s="4" t="s">
        <v>321</v>
      </c>
      <c r="B228" s="8">
        <v>46131</v>
      </c>
      <c r="C228" s="4" t="s">
        <v>278</v>
      </c>
      <c r="D228" s="4" t="s">
        <v>28</v>
      </c>
      <c r="E228" s="4" t="s">
        <v>53</v>
      </c>
      <c r="F228" s="3">
        <v>53</v>
      </c>
      <c r="G228" s="2" t="str">
        <f>_xlfn.XLOOKUP(tblOrder[[#This Row],[Produktkod]], tblProd[Produktkod], tblProd[Produktnamn])</f>
        <v>Montagesats MS-10</v>
      </c>
      <c r="H228" s="2">
        <f>_xlfn.XLOOKUP(tblOrder[[#This Row],[Produktkod]], tblProd[Produktkod], tblProd[Styckpris])</f>
        <v>1250</v>
      </c>
      <c r="I228" s="2">
        <f>_xlfn.XLOOKUP(tblOrder[[#This Row],[Produktkod]], tblProd[Produktkod], tblProd[Självkostnad/st])</f>
        <v>720</v>
      </c>
      <c r="J228" s="2" t="str">
        <f>_xlfn.XLOOKUP(tblOrder[[#This Row],[Kundkod]], tblKund[Kundkod], tblKund[Kund], "Okänd kund")</f>
        <v>Volvo Lastvagnar</v>
      </c>
      <c r="K228" s="2">
        <f>tblOrder[[#This Row],[Antal]]*tblOrder[[#This Row],[Styckpris]]</f>
        <v>66250</v>
      </c>
      <c r="L228" s="14">
        <f>_xlfn.XLOOKUP(tblOrder[[#This Row],[Antal]], tblRabatt[Min antal], tblRabatt[Rabattsats], , -1)</f>
        <v>0.03</v>
      </c>
      <c r="M228" s="19">
        <f t="shared" si="3"/>
        <v>28090</v>
      </c>
    </row>
    <row r="229" spans="1:13" x14ac:dyDescent="0.25">
      <c r="A229" s="4" t="s">
        <v>322</v>
      </c>
      <c r="B229" s="8">
        <v>46132</v>
      </c>
      <c r="C229" s="4" t="s">
        <v>278</v>
      </c>
      <c r="D229" s="4" t="s">
        <v>24</v>
      </c>
      <c r="E229" s="4" t="s">
        <v>57</v>
      </c>
      <c r="F229" s="3">
        <v>27</v>
      </c>
      <c r="G229" s="2" t="str">
        <f>_xlfn.XLOOKUP(tblOrder[[#This Row],[Produktkod]], tblProd[Produktkod], tblProd[Produktnamn])</f>
        <v>Hydraulpump HP-200</v>
      </c>
      <c r="H229" s="2">
        <f>_xlfn.XLOOKUP(tblOrder[[#This Row],[Produktkod]], tblProd[Produktkod], tblProd[Styckpris])</f>
        <v>8900</v>
      </c>
      <c r="I229" s="2">
        <f>_xlfn.XLOOKUP(tblOrder[[#This Row],[Produktkod]], tblProd[Produktkod], tblProd[Självkostnad/st])</f>
        <v>5600</v>
      </c>
      <c r="J229" s="2" t="str">
        <f>_xlfn.XLOOKUP(tblOrder[[#This Row],[Kundkod]], tblKund[Kundkod], tblKund[Kund], "Okänd kund")</f>
        <v>Scania CV</v>
      </c>
      <c r="K229" s="2">
        <f>tblOrder[[#This Row],[Antal]]*tblOrder[[#This Row],[Styckpris]]</f>
        <v>240300</v>
      </c>
      <c r="L229" s="14">
        <f>_xlfn.XLOOKUP(tblOrder[[#This Row],[Antal]], tblRabatt[Min antal], tblRabatt[Rabattsats], , -1)</f>
        <v>0</v>
      </c>
      <c r="M229" s="19">
        <f t="shared" si="3"/>
        <v>89100</v>
      </c>
    </row>
    <row r="230" spans="1:13" x14ac:dyDescent="0.25">
      <c r="A230" s="4" t="s">
        <v>323</v>
      </c>
      <c r="B230" s="8">
        <v>46133</v>
      </c>
      <c r="C230" s="4" t="s">
        <v>278</v>
      </c>
      <c r="D230" s="4" t="s">
        <v>38</v>
      </c>
      <c r="E230" s="4" t="s">
        <v>62</v>
      </c>
      <c r="F230" s="3">
        <v>93</v>
      </c>
      <c r="G230" s="2" t="str">
        <f>_xlfn.XLOOKUP(tblOrder[[#This Row],[Produktkod]], tblProd[Produktkod], tblProd[Produktnamn])</f>
        <v>Sensor S-45</v>
      </c>
      <c r="H230" s="2">
        <f>_xlfn.XLOOKUP(tblOrder[[#This Row],[Produktkod]], tblProd[Produktkod], tblProd[Styckpris])</f>
        <v>2100</v>
      </c>
      <c r="I230" s="2">
        <f>_xlfn.XLOOKUP(tblOrder[[#This Row],[Produktkod]], tblProd[Produktkod], tblProd[Självkostnad/st])</f>
        <v>1180</v>
      </c>
      <c r="J230" s="2" t="str">
        <f>_xlfn.XLOOKUP(tblOrder[[#This Row],[Kundkod]], tblKund[Kundkod], tblKund[Kund], "Okänd kund")</f>
        <v>Danfoss A/S</v>
      </c>
      <c r="K230" s="2">
        <f>tblOrder[[#This Row],[Antal]]*tblOrder[[#This Row],[Styckpris]]</f>
        <v>195300</v>
      </c>
      <c r="L230" s="14">
        <f>_xlfn.XLOOKUP(tblOrder[[#This Row],[Antal]], tblRabatt[Min antal], tblRabatt[Rabattsats], , -1)</f>
        <v>0.03</v>
      </c>
      <c r="M230" s="19">
        <f t="shared" si="3"/>
        <v>85560</v>
      </c>
    </row>
    <row r="231" spans="1:13" x14ac:dyDescent="0.25">
      <c r="A231" s="4" t="s">
        <v>324</v>
      </c>
      <c r="B231" s="8">
        <v>46134</v>
      </c>
      <c r="C231" s="4" t="s">
        <v>278</v>
      </c>
      <c r="D231" s="4" t="s">
        <v>21</v>
      </c>
      <c r="E231" s="4" t="s">
        <v>68</v>
      </c>
      <c r="F231" s="3">
        <v>400</v>
      </c>
      <c r="G231" s="2" t="str">
        <f>_xlfn.XLOOKUP(tblOrder[[#This Row],[Produktkod]], tblProd[Produktkod], tblProd[Produktnamn])</f>
        <v>Hydraulcylinder HC-50</v>
      </c>
      <c r="H231" s="2">
        <f>_xlfn.XLOOKUP(tblOrder[[#This Row],[Produktkod]], tblProd[Produktkod], tblProd[Styckpris])</f>
        <v>4500</v>
      </c>
      <c r="I231" s="2">
        <f>_xlfn.XLOOKUP(tblOrder[[#This Row],[Produktkod]], tblProd[Produktkod], tblProd[Självkostnad/st])</f>
        <v>2800</v>
      </c>
      <c r="J231" s="2" t="str">
        <f>_xlfn.XLOOKUP(tblOrder[[#This Row],[Kundkod]], tblKund[Kundkod], tblKund[Kund], "Okänd kund")</f>
        <v>Bosch Rexroth</v>
      </c>
      <c r="K231" s="2">
        <f>tblOrder[[#This Row],[Antal]]*tblOrder[[#This Row],[Styckpris]]</f>
        <v>1800000</v>
      </c>
      <c r="L231" s="14">
        <f>_xlfn.XLOOKUP(tblOrder[[#This Row],[Antal]], tblRabatt[Min antal], tblRabatt[Rabattsats], , -1)</f>
        <v>0.08</v>
      </c>
      <c r="M231" s="19">
        <f t="shared" si="3"/>
        <v>680000</v>
      </c>
    </row>
    <row r="232" spans="1:13" x14ac:dyDescent="0.25">
      <c r="A232" s="4" t="s">
        <v>325</v>
      </c>
      <c r="B232" s="8">
        <v>46134</v>
      </c>
      <c r="C232" s="4" t="s">
        <v>278</v>
      </c>
      <c r="D232" s="4" t="s">
        <v>31</v>
      </c>
      <c r="E232" s="4" t="s">
        <v>59</v>
      </c>
      <c r="F232" s="3">
        <v>51</v>
      </c>
      <c r="G232" s="2" t="str">
        <f>_xlfn.XLOOKUP(tblOrder[[#This Row],[Produktkod]], tblProd[Produktkod], tblProd[Produktnamn])</f>
        <v>Fästplatta FP-A4</v>
      </c>
      <c r="H232" s="2">
        <f>_xlfn.XLOOKUP(tblOrder[[#This Row],[Produktkod]], tblProd[Produktkod], tblProd[Styckpris])</f>
        <v>480</v>
      </c>
      <c r="I232" s="2">
        <f>_xlfn.XLOOKUP(tblOrder[[#This Row],[Produktkod]], tblProd[Produktkod], tblProd[Självkostnad/st])</f>
        <v>260</v>
      </c>
      <c r="J232" s="2" t="str">
        <f>_xlfn.XLOOKUP(tblOrder[[#This Row],[Kundkod]], tblKund[Kundkod], tblKund[Kund], "Okänd kund")</f>
        <v>Kongsberg Automotive</v>
      </c>
      <c r="K232" s="2">
        <f>tblOrder[[#This Row],[Antal]]*tblOrder[[#This Row],[Styckpris]]</f>
        <v>24480</v>
      </c>
      <c r="L232" s="14">
        <f>_xlfn.XLOOKUP(tblOrder[[#This Row],[Antal]], tblRabatt[Min antal], tblRabatt[Rabattsats], , -1)</f>
        <v>0.03</v>
      </c>
      <c r="M232" s="19">
        <f t="shared" si="3"/>
        <v>11220</v>
      </c>
    </row>
    <row r="233" spans="1:13" x14ac:dyDescent="0.25">
      <c r="A233" s="4" t="s">
        <v>326</v>
      </c>
      <c r="B233" s="8">
        <v>46135</v>
      </c>
      <c r="C233" s="4" t="s">
        <v>278</v>
      </c>
      <c r="D233" s="4" t="s">
        <v>45</v>
      </c>
      <c r="E233" s="4" t="s">
        <v>76</v>
      </c>
      <c r="F233" s="3">
        <v>6</v>
      </c>
      <c r="G233" s="2" t="str">
        <f>_xlfn.XLOOKUP(tblOrder[[#This Row],[Produktkod]], tblProd[Produktkod], tblProd[Produktnamn])</f>
        <v>Tätningskit TK-9</v>
      </c>
      <c r="H233" s="2">
        <f>_xlfn.XLOOKUP(tblOrder[[#This Row],[Produktkod]], tblProd[Produktkod], tblProd[Styckpris])</f>
        <v>210</v>
      </c>
      <c r="I233" s="2">
        <f>_xlfn.XLOOKUP(tblOrder[[#This Row],[Produktkod]], tblProd[Produktkod], tblProd[Självkostnad/st])</f>
        <v>95</v>
      </c>
      <c r="J233" s="2" t="str">
        <f>_xlfn.XLOOKUP(tblOrder[[#This Row],[Kundkod]], tblKund[Kundkod], tblKund[Kund], "Okänd kund")</f>
        <v>Maskin &amp; Verktyg</v>
      </c>
      <c r="K233" s="2">
        <f>tblOrder[[#This Row],[Antal]]*tblOrder[[#This Row],[Styckpris]]</f>
        <v>1260</v>
      </c>
      <c r="L233" s="14">
        <f>_xlfn.XLOOKUP(tblOrder[[#This Row],[Antal]], tblRabatt[Min antal], tblRabatt[Rabattsats], , -1)</f>
        <v>0</v>
      </c>
      <c r="M233" s="19">
        <f t="shared" si="3"/>
        <v>690</v>
      </c>
    </row>
    <row r="234" spans="1:13" x14ac:dyDescent="0.25">
      <c r="A234" s="4" t="s">
        <v>327</v>
      </c>
      <c r="B234" s="8">
        <v>46135</v>
      </c>
      <c r="C234" s="4" t="s">
        <v>278</v>
      </c>
      <c r="D234" s="4" t="s">
        <v>31</v>
      </c>
      <c r="E234" s="4" t="s">
        <v>132</v>
      </c>
      <c r="F234" s="3">
        <v>48</v>
      </c>
      <c r="G234" s="2" t="str">
        <f>_xlfn.XLOOKUP(tblOrder[[#This Row],[Produktkod]], tblProd[Produktkod], tblProd[Produktnamn])</f>
        <v>Fästplatta FP-A4</v>
      </c>
      <c r="H234" s="2">
        <f>_xlfn.XLOOKUP(tblOrder[[#This Row],[Produktkod]], tblProd[Produktkod], tblProd[Styckpris])</f>
        <v>480</v>
      </c>
      <c r="I234" s="2">
        <f>_xlfn.XLOOKUP(tblOrder[[#This Row],[Produktkod]], tblProd[Produktkod], tblProd[Självkostnad/st])</f>
        <v>260</v>
      </c>
      <c r="J234" s="2" t="str">
        <f>_xlfn.XLOOKUP(tblOrder[[#This Row],[Kundkod]], tblKund[Kundkod], tblKund[Kund], "Okänd kund")</f>
        <v>Okänd kund</v>
      </c>
      <c r="K234" s="2">
        <f>tblOrder[[#This Row],[Antal]]*tblOrder[[#This Row],[Styckpris]]</f>
        <v>23040</v>
      </c>
      <c r="L234" s="14">
        <f>_xlfn.XLOOKUP(tblOrder[[#This Row],[Antal]], tblRabatt[Min antal], tblRabatt[Rabattsats], , -1)</f>
        <v>0</v>
      </c>
      <c r="M234" s="19">
        <f t="shared" si="3"/>
        <v>10560</v>
      </c>
    </row>
    <row r="235" spans="1:13" x14ac:dyDescent="0.25">
      <c r="A235" s="4" t="s">
        <v>328</v>
      </c>
      <c r="B235" s="8">
        <v>46136</v>
      </c>
      <c r="C235" s="4" t="s">
        <v>278</v>
      </c>
      <c r="D235" s="4" t="s">
        <v>28</v>
      </c>
      <c r="E235" s="4" t="s">
        <v>79</v>
      </c>
      <c r="F235" s="3">
        <v>727</v>
      </c>
      <c r="G235" s="2" t="str">
        <f>_xlfn.XLOOKUP(tblOrder[[#This Row],[Produktkod]], tblProd[Produktkod], tblProd[Produktnamn])</f>
        <v>Montagesats MS-10</v>
      </c>
      <c r="H235" s="2">
        <f>_xlfn.XLOOKUP(tblOrder[[#This Row],[Produktkod]], tblProd[Produktkod], tblProd[Styckpris])</f>
        <v>1250</v>
      </c>
      <c r="I235" s="2">
        <f>_xlfn.XLOOKUP(tblOrder[[#This Row],[Produktkod]], tblProd[Produktkod], tblProd[Självkostnad/st])</f>
        <v>720</v>
      </c>
      <c r="J235" s="2" t="str">
        <f>_xlfn.XLOOKUP(tblOrder[[#This Row],[Kundkod]], tblKund[Kundkod], tblKund[Kund], "Okänd kund")</f>
        <v>Industrikomponenter</v>
      </c>
      <c r="K235" s="2">
        <f>tblOrder[[#This Row],[Antal]]*tblOrder[[#This Row],[Styckpris]]</f>
        <v>908750</v>
      </c>
      <c r="L235" s="14">
        <f>_xlfn.XLOOKUP(tblOrder[[#This Row],[Antal]], tblRabatt[Min antal], tblRabatt[Rabattsats], , -1)</f>
        <v>0.12</v>
      </c>
      <c r="M235" s="19">
        <f t="shared" si="3"/>
        <v>385310</v>
      </c>
    </row>
    <row r="236" spans="1:13" x14ac:dyDescent="0.25">
      <c r="A236" s="4" t="s">
        <v>329</v>
      </c>
      <c r="B236" s="8">
        <v>46136</v>
      </c>
      <c r="C236" s="4" t="s">
        <v>278</v>
      </c>
      <c r="D236" s="4" t="s">
        <v>24</v>
      </c>
      <c r="E236" s="4" t="s">
        <v>59</v>
      </c>
      <c r="F236" s="3">
        <v>394</v>
      </c>
      <c r="G236" s="2" t="str">
        <f>_xlfn.XLOOKUP(tblOrder[[#This Row],[Produktkod]], tblProd[Produktkod], tblProd[Produktnamn])</f>
        <v>Hydraulpump HP-200</v>
      </c>
      <c r="H236" s="2">
        <f>_xlfn.XLOOKUP(tblOrder[[#This Row],[Produktkod]], tblProd[Produktkod], tblProd[Styckpris])</f>
        <v>8900</v>
      </c>
      <c r="I236" s="2">
        <f>_xlfn.XLOOKUP(tblOrder[[#This Row],[Produktkod]], tblProd[Produktkod], tblProd[Självkostnad/st])</f>
        <v>5600</v>
      </c>
      <c r="J236" s="2" t="str">
        <f>_xlfn.XLOOKUP(tblOrder[[#This Row],[Kundkod]], tblKund[Kundkod], tblKund[Kund], "Okänd kund")</f>
        <v>Kongsberg Automotive</v>
      </c>
      <c r="K236" s="2">
        <f>tblOrder[[#This Row],[Antal]]*tblOrder[[#This Row],[Styckpris]]</f>
        <v>3506600</v>
      </c>
      <c r="L236" s="14">
        <f>_xlfn.XLOOKUP(tblOrder[[#This Row],[Antal]], tblRabatt[Min antal], tblRabatt[Rabattsats], , -1)</f>
        <v>0.08</v>
      </c>
      <c r="M236" s="19">
        <f t="shared" si="3"/>
        <v>1300200</v>
      </c>
    </row>
    <row r="237" spans="1:13" x14ac:dyDescent="0.25">
      <c r="A237" s="4" t="s">
        <v>330</v>
      </c>
      <c r="B237" s="8">
        <v>46137</v>
      </c>
      <c r="C237" s="4" t="s">
        <v>278</v>
      </c>
      <c r="D237" s="4" t="s">
        <v>47</v>
      </c>
      <c r="E237" s="4" t="s">
        <v>74</v>
      </c>
      <c r="F237" s="3">
        <v>88</v>
      </c>
      <c r="G237" s="2" t="str">
        <f>_xlfn.XLOOKUP(tblOrder[[#This Row],[Produktkod]], tblProd[Produktkod], tblProd[Produktnamn])</f>
        <v>Packningssats PS-3</v>
      </c>
      <c r="H237" s="2">
        <f>_xlfn.XLOOKUP(tblOrder[[#This Row],[Produktkod]], tblProd[Produktkod], tblProd[Styckpris])</f>
        <v>145</v>
      </c>
      <c r="I237" s="2">
        <f>_xlfn.XLOOKUP(tblOrder[[#This Row],[Produktkod]], tblProd[Produktkod], tblProd[Självkostnad/st])</f>
        <v>68</v>
      </c>
      <c r="J237" s="2" t="str">
        <f>_xlfn.XLOOKUP(tblOrder[[#This Row],[Kundkod]], tblKund[Kundkod], tblKund[Kund], "Okänd kund")</f>
        <v>Nordic Parts AS</v>
      </c>
      <c r="K237" s="2">
        <f>tblOrder[[#This Row],[Antal]]*tblOrder[[#This Row],[Styckpris]]</f>
        <v>12760</v>
      </c>
      <c r="L237" s="14">
        <f>_xlfn.XLOOKUP(tblOrder[[#This Row],[Antal]], tblRabatt[Min antal], tblRabatt[Rabattsats], , -1)</f>
        <v>0.03</v>
      </c>
      <c r="M237" s="19">
        <f t="shared" si="3"/>
        <v>6776</v>
      </c>
    </row>
    <row r="238" spans="1:13" x14ac:dyDescent="0.25">
      <c r="A238" s="4" t="s">
        <v>331</v>
      </c>
      <c r="B238" s="8">
        <v>46137</v>
      </c>
      <c r="C238" s="4" t="s">
        <v>278</v>
      </c>
      <c r="D238" s="4" t="s">
        <v>31</v>
      </c>
      <c r="E238" s="4" t="s">
        <v>68</v>
      </c>
      <c r="F238" s="3">
        <v>754</v>
      </c>
      <c r="G238" s="2" t="str">
        <f>_xlfn.XLOOKUP(tblOrder[[#This Row],[Produktkod]], tblProd[Produktkod], tblProd[Produktnamn])</f>
        <v>Fästplatta FP-A4</v>
      </c>
      <c r="H238" s="2">
        <f>_xlfn.XLOOKUP(tblOrder[[#This Row],[Produktkod]], tblProd[Produktkod], tblProd[Styckpris])</f>
        <v>480</v>
      </c>
      <c r="I238" s="2">
        <f>_xlfn.XLOOKUP(tblOrder[[#This Row],[Produktkod]], tblProd[Produktkod], tblProd[Självkostnad/st])</f>
        <v>260</v>
      </c>
      <c r="J238" s="2" t="str">
        <f>_xlfn.XLOOKUP(tblOrder[[#This Row],[Kundkod]], tblKund[Kundkod], tblKund[Kund], "Okänd kund")</f>
        <v>Bosch Rexroth</v>
      </c>
      <c r="K238" s="2">
        <f>tblOrder[[#This Row],[Antal]]*tblOrder[[#This Row],[Styckpris]]</f>
        <v>361920</v>
      </c>
      <c r="L238" s="14">
        <f>_xlfn.XLOOKUP(tblOrder[[#This Row],[Antal]], tblRabatt[Min antal], tblRabatt[Rabattsats], , -1)</f>
        <v>0.12</v>
      </c>
      <c r="M238" s="19">
        <f t="shared" si="3"/>
        <v>165880</v>
      </c>
    </row>
    <row r="239" spans="1:13" x14ac:dyDescent="0.25">
      <c r="A239" s="4" t="s">
        <v>332</v>
      </c>
      <c r="B239" s="8">
        <v>46137</v>
      </c>
      <c r="C239" s="4" t="s">
        <v>278</v>
      </c>
      <c r="D239" s="4" t="s">
        <v>28</v>
      </c>
      <c r="E239" s="4" t="s">
        <v>62</v>
      </c>
      <c r="F239" s="3">
        <v>173</v>
      </c>
      <c r="G239" s="2" t="str">
        <f>_xlfn.XLOOKUP(tblOrder[[#This Row],[Produktkod]], tblProd[Produktkod], tblProd[Produktnamn])</f>
        <v>Montagesats MS-10</v>
      </c>
      <c r="H239" s="2">
        <f>_xlfn.XLOOKUP(tblOrder[[#This Row],[Produktkod]], tblProd[Produktkod], tblProd[Styckpris])</f>
        <v>1250</v>
      </c>
      <c r="I239" s="2">
        <f>_xlfn.XLOOKUP(tblOrder[[#This Row],[Produktkod]], tblProd[Produktkod], tblProd[Självkostnad/st])</f>
        <v>720</v>
      </c>
      <c r="J239" s="2" t="str">
        <f>_xlfn.XLOOKUP(tblOrder[[#This Row],[Kundkod]], tblKund[Kundkod], tblKund[Kund], "Okänd kund")</f>
        <v>Danfoss A/S</v>
      </c>
      <c r="K239" s="2">
        <f>tblOrder[[#This Row],[Antal]]*tblOrder[[#This Row],[Styckpris]]</f>
        <v>216250</v>
      </c>
      <c r="L239" s="14">
        <f>_xlfn.XLOOKUP(tblOrder[[#This Row],[Antal]], tblRabatt[Min antal], tblRabatt[Rabattsats], , -1)</f>
        <v>0.05</v>
      </c>
      <c r="M239" s="19">
        <f t="shared" si="3"/>
        <v>91690</v>
      </c>
    </row>
    <row r="240" spans="1:13" x14ac:dyDescent="0.25">
      <c r="A240" s="4" t="s">
        <v>333</v>
      </c>
      <c r="B240" s="8">
        <v>46139</v>
      </c>
      <c r="C240" s="4" t="s">
        <v>278</v>
      </c>
      <c r="D240" s="4" t="s">
        <v>40</v>
      </c>
      <c r="E240" s="4" t="s">
        <v>53</v>
      </c>
      <c r="F240" s="3">
        <v>333</v>
      </c>
      <c r="G240" s="2" t="str">
        <f>_xlfn.XLOOKUP(tblOrder[[#This Row],[Produktkod]], tblProd[Produktkod], tblProd[Produktnamn])</f>
        <v>Kabelhärva KH-7</v>
      </c>
      <c r="H240" s="2">
        <f>_xlfn.XLOOKUP(tblOrder[[#This Row],[Produktkod]], tblProd[Produktkod], tblProd[Styckpris])</f>
        <v>890</v>
      </c>
      <c r="I240" s="2">
        <f>_xlfn.XLOOKUP(tblOrder[[#This Row],[Produktkod]], tblProd[Produktkod], tblProd[Självkostnad/st])</f>
        <v>510</v>
      </c>
      <c r="J240" s="2" t="str">
        <f>_xlfn.XLOOKUP(tblOrder[[#This Row],[Kundkod]], tblKund[Kundkod], tblKund[Kund], "Okänd kund")</f>
        <v>Volvo Lastvagnar</v>
      </c>
      <c r="K240" s="2">
        <f>tblOrder[[#This Row],[Antal]]*tblOrder[[#This Row],[Styckpris]]</f>
        <v>296370</v>
      </c>
      <c r="L240" s="14">
        <f>_xlfn.XLOOKUP(tblOrder[[#This Row],[Antal]], tblRabatt[Min antal], tblRabatt[Rabattsats], , -1)</f>
        <v>0.08</v>
      </c>
      <c r="M240" s="19">
        <f t="shared" si="3"/>
        <v>126540</v>
      </c>
    </row>
    <row r="241" spans="1:13" x14ac:dyDescent="0.25">
      <c r="A241" s="4" t="s">
        <v>334</v>
      </c>
      <c r="B241" s="8">
        <v>46139</v>
      </c>
      <c r="C241" s="4" t="s">
        <v>278</v>
      </c>
      <c r="D241" s="4" t="s">
        <v>31</v>
      </c>
      <c r="E241" s="4" t="s">
        <v>74</v>
      </c>
      <c r="F241" s="3">
        <v>49</v>
      </c>
      <c r="G241" s="2" t="str">
        <f>_xlfn.XLOOKUP(tblOrder[[#This Row],[Produktkod]], tblProd[Produktkod], tblProd[Produktnamn])</f>
        <v>Fästplatta FP-A4</v>
      </c>
      <c r="H241" s="2">
        <f>_xlfn.XLOOKUP(tblOrder[[#This Row],[Produktkod]], tblProd[Produktkod], tblProd[Styckpris])</f>
        <v>480</v>
      </c>
      <c r="I241" s="2">
        <f>_xlfn.XLOOKUP(tblOrder[[#This Row],[Produktkod]], tblProd[Produktkod], tblProd[Självkostnad/st])</f>
        <v>260</v>
      </c>
      <c r="J241" s="2" t="str">
        <f>_xlfn.XLOOKUP(tblOrder[[#This Row],[Kundkod]], tblKund[Kundkod], tblKund[Kund], "Okänd kund")</f>
        <v>Nordic Parts AS</v>
      </c>
      <c r="K241" s="2">
        <f>tblOrder[[#This Row],[Antal]]*tblOrder[[#This Row],[Styckpris]]</f>
        <v>23520</v>
      </c>
      <c r="L241" s="14">
        <f>_xlfn.XLOOKUP(tblOrder[[#This Row],[Antal]], tblRabatt[Min antal], tblRabatt[Rabattsats], , -1)</f>
        <v>0</v>
      </c>
      <c r="M241" s="19">
        <f t="shared" si="3"/>
        <v>10780</v>
      </c>
    </row>
    <row r="242" spans="1:13" x14ac:dyDescent="0.25">
      <c r="A242" s="4" t="s">
        <v>335</v>
      </c>
      <c r="B242" s="8">
        <v>46139</v>
      </c>
      <c r="C242" s="4" t="s">
        <v>278</v>
      </c>
      <c r="D242" s="4" t="s">
        <v>42</v>
      </c>
      <c r="E242" s="4" t="s">
        <v>223</v>
      </c>
      <c r="F242" s="3">
        <v>676</v>
      </c>
      <c r="G242" s="2" t="str">
        <f>_xlfn.XLOOKUP(tblOrder[[#This Row],[Produktkod]], tblProd[Produktkod], tblProd[Produktnamn])</f>
        <v>Lagersats LS-22</v>
      </c>
      <c r="H242" s="2">
        <f>_xlfn.XLOOKUP(tblOrder[[#This Row],[Produktkod]], tblProd[Produktkod], tblProd[Styckpris])</f>
        <v>650</v>
      </c>
      <c r="I242" s="2">
        <f>_xlfn.XLOOKUP(tblOrder[[#This Row],[Produktkod]], tblProd[Produktkod], tblProd[Självkostnad/st])</f>
        <v>380</v>
      </c>
      <c r="J242" s="2" t="str">
        <f>_xlfn.XLOOKUP(tblOrder[[#This Row],[Kundkod]], tblKund[Kundkod], tblKund[Kund], "Okänd kund")</f>
        <v>Okänd kund</v>
      </c>
      <c r="K242" s="2">
        <f>tblOrder[[#This Row],[Antal]]*tblOrder[[#This Row],[Styckpris]]</f>
        <v>439400</v>
      </c>
      <c r="L242" s="14">
        <f>_xlfn.XLOOKUP(tblOrder[[#This Row],[Antal]], tblRabatt[Min antal], tblRabatt[Rabattsats], , -1)</f>
        <v>0.12</v>
      </c>
      <c r="M242" s="19">
        <f t="shared" si="3"/>
        <v>182520</v>
      </c>
    </row>
    <row r="243" spans="1:13" x14ac:dyDescent="0.25">
      <c r="A243" s="4" t="s">
        <v>336</v>
      </c>
      <c r="B243" s="8">
        <v>46139</v>
      </c>
      <c r="C243" s="4" t="s">
        <v>278</v>
      </c>
      <c r="D243" s="4" t="s">
        <v>40</v>
      </c>
      <c r="E243" s="4" t="s">
        <v>68</v>
      </c>
      <c r="F243" s="3">
        <v>607</v>
      </c>
      <c r="G243" s="2" t="str">
        <f>_xlfn.XLOOKUP(tblOrder[[#This Row],[Produktkod]], tblProd[Produktkod], tblProd[Produktnamn])</f>
        <v>Kabelhärva KH-7</v>
      </c>
      <c r="H243" s="2">
        <f>_xlfn.XLOOKUP(tblOrder[[#This Row],[Produktkod]], tblProd[Produktkod], tblProd[Styckpris])</f>
        <v>890</v>
      </c>
      <c r="I243" s="2">
        <f>_xlfn.XLOOKUP(tblOrder[[#This Row],[Produktkod]], tblProd[Produktkod], tblProd[Självkostnad/st])</f>
        <v>510</v>
      </c>
      <c r="J243" s="2" t="str">
        <f>_xlfn.XLOOKUP(tblOrder[[#This Row],[Kundkod]], tblKund[Kundkod], tblKund[Kund], "Okänd kund")</f>
        <v>Bosch Rexroth</v>
      </c>
      <c r="K243" s="2">
        <f>tblOrder[[#This Row],[Antal]]*tblOrder[[#This Row],[Styckpris]]</f>
        <v>540230</v>
      </c>
      <c r="L243" s="14">
        <f>_xlfn.XLOOKUP(tblOrder[[#This Row],[Antal]], tblRabatt[Min antal], tblRabatt[Rabattsats], , -1)</f>
        <v>0.12</v>
      </c>
      <c r="M243" s="19">
        <f t="shared" si="3"/>
        <v>230660</v>
      </c>
    </row>
    <row r="244" spans="1:13" x14ac:dyDescent="0.25">
      <c r="A244" s="4" t="s">
        <v>337</v>
      </c>
      <c r="B244" s="8">
        <v>46140</v>
      </c>
      <c r="C244" s="4" t="s">
        <v>278</v>
      </c>
      <c r="D244" s="4" t="s">
        <v>40</v>
      </c>
      <c r="E244" s="4" t="s">
        <v>79</v>
      </c>
      <c r="F244" s="3">
        <v>23</v>
      </c>
      <c r="G244" s="2" t="str">
        <f>_xlfn.XLOOKUP(tblOrder[[#This Row],[Produktkod]], tblProd[Produktkod], tblProd[Produktnamn])</f>
        <v>Kabelhärva KH-7</v>
      </c>
      <c r="H244" s="2">
        <f>_xlfn.XLOOKUP(tblOrder[[#This Row],[Produktkod]], tblProd[Produktkod], tblProd[Styckpris])</f>
        <v>890</v>
      </c>
      <c r="I244" s="2">
        <f>_xlfn.XLOOKUP(tblOrder[[#This Row],[Produktkod]], tblProd[Produktkod], tblProd[Självkostnad/st])</f>
        <v>510</v>
      </c>
      <c r="J244" s="2" t="str">
        <f>_xlfn.XLOOKUP(tblOrder[[#This Row],[Kundkod]], tblKund[Kundkod], tblKund[Kund], "Okänd kund")</f>
        <v>Industrikomponenter</v>
      </c>
      <c r="K244" s="2">
        <f>tblOrder[[#This Row],[Antal]]*tblOrder[[#This Row],[Styckpris]]</f>
        <v>20470</v>
      </c>
      <c r="L244" s="14">
        <f>_xlfn.XLOOKUP(tblOrder[[#This Row],[Antal]], tblRabatt[Min antal], tblRabatt[Rabattsats], , -1)</f>
        <v>0</v>
      </c>
      <c r="M244" s="19">
        <f t="shared" si="3"/>
        <v>8740</v>
      </c>
    </row>
    <row r="245" spans="1:13" x14ac:dyDescent="0.25">
      <c r="A245" s="4" t="s">
        <v>338</v>
      </c>
      <c r="B245" s="8">
        <v>46140</v>
      </c>
      <c r="C245" s="4" t="s">
        <v>278</v>
      </c>
      <c r="D245" s="4" t="s">
        <v>40</v>
      </c>
      <c r="E245" s="4" t="s">
        <v>53</v>
      </c>
      <c r="F245" s="3">
        <v>52</v>
      </c>
      <c r="G245" s="2" t="str">
        <f>_xlfn.XLOOKUP(tblOrder[[#This Row],[Produktkod]], tblProd[Produktkod], tblProd[Produktnamn])</f>
        <v>Kabelhärva KH-7</v>
      </c>
      <c r="H245" s="2">
        <f>_xlfn.XLOOKUP(tblOrder[[#This Row],[Produktkod]], tblProd[Produktkod], tblProd[Styckpris])</f>
        <v>890</v>
      </c>
      <c r="I245" s="2">
        <f>_xlfn.XLOOKUP(tblOrder[[#This Row],[Produktkod]], tblProd[Produktkod], tblProd[Självkostnad/st])</f>
        <v>510</v>
      </c>
      <c r="J245" s="2" t="str">
        <f>_xlfn.XLOOKUP(tblOrder[[#This Row],[Kundkod]], tblKund[Kundkod], tblKund[Kund], "Okänd kund")</f>
        <v>Volvo Lastvagnar</v>
      </c>
      <c r="K245" s="2">
        <f>tblOrder[[#This Row],[Antal]]*tblOrder[[#This Row],[Styckpris]]</f>
        <v>46280</v>
      </c>
      <c r="L245" s="14">
        <f>_xlfn.XLOOKUP(tblOrder[[#This Row],[Antal]], tblRabatt[Min antal], tblRabatt[Rabattsats], , -1)</f>
        <v>0.03</v>
      </c>
      <c r="M245" s="19">
        <f t="shared" si="3"/>
        <v>19760</v>
      </c>
    </row>
    <row r="246" spans="1:13" x14ac:dyDescent="0.25">
      <c r="A246" s="4" t="s">
        <v>339</v>
      </c>
      <c r="B246" s="8">
        <v>46140</v>
      </c>
      <c r="C246" s="4" t="s">
        <v>278</v>
      </c>
      <c r="D246" s="4" t="s">
        <v>31</v>
      </c>
      <c r="E246" s="4" t="s">
        <v>79</v>
      </c>
      <c r="F246" s="3">
        <v>133</v>
      </c>
      <c r="G246" s="2" t="str">
        <f>_xlfn.XLOOKUP(tblOrder[[#This Row],[Produktkod]], tblProd[Produktkod], tblProd[Produktnamn])</f>
        <v>Fästplatta FP-A4</v>
      </c>
      <c r="H246" s="2">
        <f>_xlfn.XLOOKUP(tblOrder[[#This Row],[Produktkod]], tblProd[Produktkod], tblProd[Styckpris])</f>
        <v>480</v>
      </c>
      <c r="I246" s="2">
        <f>_xlfn.XLOOKUP(tblOrder[[#This Row],[Produktkod]], tblProd[Produktkod], tblProd[Självkostnad/st])</f>
        <v>260</v>
      </c>
      <c r="J246" s="2" t="str">
        <f>_xlfn.XLOOKUP(tblOrder[[#This Row],[Kundkod]], tblKund[Kundkod], tblKund[Kund], "Okänd kund")</f>
        <v>Industrikomponenter</v>
      </c>
      <c r="K246" s="2">
        <f>tblOrder[[#This Row],[Antal]]*tblOrder[[#This Row],[Styckpris]]</f>
        <v>63840</v>
      </c>
      <c r="L246" s="14">
        <f>_xlfn.XLOOKUP(tblOrder[[#This Row],[Antal]], tblRabatt[Min antal], tblRabatt[Rabattsats], , -1)</f>
        <v>0.05</v>
      </c>
      <c r="M246" s="19">
        <f t="shared" si="3"/>
        <v>29260</v>
      </c>
    </row>
    <row r="247" spans="1:13" x14ac:dyDescent="0.25">
      <c r="A247" s="4" t="s">
        <v>340</v>
      </c>
      <c r="B247" s="8">
        <v>46143</v>
      </c>
      <c r="C247" s="4" t="s">
        <v>341</v>
      </c>
      <c r="D247" s="4" t="s">
        <v>47</v>
      </c>
      <c r="E247" s="4" t="s">
        <v>65</v>
      </c>
      <c r="F247" s="3">
        <v>161</v>
      </c>
      <c r="G247" s="2" t="str">
        <f>_xlfn.XLOOKUP(tblOrder[[#This Row],[Produktkod]], tblProd[Produktkod], tblProd[Produktnamn])</f>
        <v>Packningssats PS-3</v>
      </c>
      <c r="H247" s="2">
        <f>_xlfn.XLOOKUP(tblOrder[[#This Row],[Produktkod]], tblProd[Produktkod], tblProd[Styckpris])</f>
        <v>145</v>
      </c>
      <c r="I247" s="2">
        <f>_xlfn.XLOOKUP(tblOrder[[#This Row],[Produktkod]], tblProd[Produktkod], tblProd[Självkostnad/st])</f>
        <v>68</v>
      </c>
      <c r="J247" s="2" t="str">
        <f>_xlfn.XLOOKUP(tblOrder[[#This Row],[Kundkod]], tblKund[Kundkod], tblKund[Kund], "Okänd kund")</f>
        <v>Wärtsilä</v>
      </c>
      <c r="K247" s="2">
        <f>tblOrder[[#This Row],[Antal]]*tblOrder[[#This Row],[Styckpris]]</f>
        <v>23345</v>
      </c>
      <c r="L247" s="14">
        <f>_xlfn.XLOOKUP(tblOrder[[#This Row],[Antal]], tblRabatt[Min antal], tblRabatt[Rabattsats], , -1)</f>
        <v>0.05</v>
      </c>
      <c r="M247" s="19">
        <f t="shared" si="3"/>
        <v>12397</v>
      </c>
    </row>
    <row r="248" spans="1:13" x14ac:dyDescent="0.25">
      <c r="A248" s="4" t="s">
        <v>342</v>
      </c>
      <c r="B248" s="8">
        <v>46143</v>
      </c>
      <c r="C248" s="4" t="s">
        <v>341</v>
      </c>
      <c r="D248" s="4" t="s">
        <v>38</v>
      </c>
      <c r="E248" s="4" t="s">
        <v>76</v>
      </c>
      <c r="F248" s="3">
        <v>41</v>
      </c>
      <c r="G248" s="2" t="str">
        <f>_xlfn.XLOOKUP(tblOrder[[#This Row],[Produktkod]], tblProd[Produktkod], tblProd[Produktnamn])</f>
        <v>Sensor S-45</v>
      </c>
      <c r="H248" s="2">
        <f>_xlfn.XLOOKUP(tblOrder[[#This Row],[Produktkod]], tblProd[Produktkod], tblProd[Styckpris])</f>
        <v>2100</v>
      </c>
      <c r="I248" s="2">
        <f>_xlfn.XLOOKUP(tblOrder[[#This Row],[Produktkod]], tblProd[Produktkod], tblProd[Självkostnad/st])</f>
        <v>1180</v>
      </c>
      <c r="J248" s="2" t="str">
        <f>_xlfn.XLOOKUP(tblOrder[[#This Row],[Kundkod]], tblKund[Kundkod], tblKund[Kund], "Okänd kund")</f>
        <v>Maskin &amp; Verktyg</v>
      </c>
      <c r="K248" s="2">
        <f>tblOrder[[#This Row],[Antal]]*tblOrder[[#This Row],[Styckpris]]</f>
        <v>86100</v>
      </c>
      <c r="L248" s="14">
        <f>_xlfn.XLOOKUP(tblOrder[[#This Row],[Antal]], tblRabatt[Min antal], tblRabatt[Rabattsats], , -1)</f>
        <v>0</v>
      </c>
      <c r="M248" s="19">
        <f t="shared" si="3"/>
        <v>37720</v>
      </c>
    </row>
    <row r="249" spans="1:13" x14ac:dyDescent="0.25">
      <c r="A249" s="4" t="s">
        <v>343</v>
      </c>
      <c r="B249" s="8">
        <v>46144</v>
      </c>
      <c r="C249" s="4" t="s">
        <v>341</v>
      </c>
      <c r="D249" s="4" t="s">
        <v>38</v>
      </c>
      <c r="E249" s="4" t="s">
        <v>74</v>
      </c>
      <c r="F249" s="3">
        <v>125</v>
      </c>
      <c r="G249" s="2" t="str">
        <f>_xlfn.XLOOKUP(tblOrder[[#This Row],[Produktkod]], tblProd[Produktkod], tblProd[Produktnamn])</f>
        <v>Sensor S-45</v>
      </c>
      <c r="H249" s="2">
        <f>_xlfn.XLOOKUP(tblOrder[[#This Row],[Produktkod]], tblProd[Produktkod], tblProd[Styckpris])</f>
        <v>2100</v>
      </c>
      <c r="I249" s="2">
        <f>_xlfn.XLOOKUP(tblOrder[[#This Row],[Produktkod]], tblProd[Produktkod], tblProd[Självkostnad/st])</f>
        <v>1180</v>
      </c>
      <c r="J249" s="2" t="str">
        <f>_xlfn.XLOOKUP(tblOrder[[#This Row],[Kundkod]], tblKund[Kundkod], tblKund[Kund], "Okänd kund")</f>
        <v>Nordic Parts AS</v>
      </c>
      <c r="K249" s="2">
        <f>tblOrder[[#This Row],[Antal]]*tblOrder[[#This Row],[Styckpris]]</f>
        <v>262500</v>
      </c>
      <c r="L249" s="14">
        <f>_xlfn.XLOOKUP(tblOrder[[#This Row],[Antal]], tblRabatt[Min antal], tblRabatt[Rabattsats], , -1)</f>
        <v>0.05</v>
      </c>
      <c r="M249" s="19">
        <f t="shared" si="3"/>
        <v>115000</v>
      </c>
    </row>
    <row r="250" spans="1:13" x14ac:dyDescent="0.25">
      <c r="A250" s="4" t="s">
        <v>344</v>
      </c>
      <c r="B250" s="8">
        <v>46146</v>
      </c>
      <c r="C250" s="4" t="s">
        <v>341</v>
      </c>
      <c r="D250" s="4" t="s">
        <v>45</v>
      </c>
      <c r="E250" s="4" t="s">
        <v>132</v>
      </c>
      <c r="F250" s="3">
        <v>612</v>
      </c>
      <c r="G250" s="2" t="str">
        <f>_xlfn.XLOOKUP(tblOrder[[#This Row],[Produktkod]], tblProd[Produktkod], tblProd[Produktnamn])</f>
        <v>Tätningskit TK-9</v>
      </c>
      <c r="H250" s="2">
        <f>_xlfn.XLOOKUP(tblOrder[[#This Row],[Produktkod]], tblProd[Produktkod], tblProd[Styckpris])</f>
        <v>210</v>
      </c>
      <c r="I250" s="2">
        <f>_xlfn.XLOOKUP(tblOrder[[#This Row],[Produktkod]], tblProd[Produktkod], tblProd[Självkostnad/st])</f>
        <v>95</v>
      </c>
      <c r="J250" s="2" t="str">
        <f>_xlfn.XLOOKUP(tblOrder[[#This Row],[Kundkod]], tblKund[Kundkod], tblKund[Kund], "Okänd kund")</f>
        <v>Okänd kund</v>
      </c>
      <c r="K250" s="2">
        <f>tblOrder[[#This Row],[Antal]]*tblOrder[[#This Row],[Styckpris]]</f>
        <v>128520</v>
      </c>
      <c r="L250" s="14">
        <f>_xlfn.XLOOKUP(tblOrder[[#This Row],[Antal]], tblRabatt[Min antal], tblRabatt[Rabattsats], , -1)</f>
        <v>0.12</v>
      </c>
      <c r="M250" s="19">
        <f t="shared" si="3"/>
        <v>70380</v>
      </c>
    </row>
    <row r="251" spans="1:13" x14ac:dyDescent="0.25">
      <c r="A251" s="4" t="s">
        <v>345</v>
      </c>
      <c r="B251" s="8">
        <v>46146</v>
      </c>
      <c r="C251" s="4" t="s">
        <v>341</v>
      </c>
      <c r="D251" s="4" t="s">
        <v>28</v>
      </c>
      <c r="E251" s="4" t="s">
        <v>79</v>
      </c>
      <c r="F251" s="3">
        <v>32</v>
      </c>
      <c r="G251" s="2" t="str">
        <f>_xlfn.XLOOKUP(tblOrder[[#This Row],[Produktkod]], tblProd[Produktkod], tblProd[Produktnamn])</f>
        <v>Montagesats MS-10</v>
      </c>
      <c r="H251" s="2">
        <f>_xlfn.XLOOKUP(tblOrder[[#This Row],[Produktkod]], tblProd[Produktkod], tblProd[Styckpris])</f>
        <v>1250</v>
      </c>
      <c r="I251" s="2">
        <f>_xlfn.XLOOKUP(tblOrder[[#This Row],[Produktkod]], tblProd[Produktkod], tblProd[Självkostnad/st])</f>
        <v>720</v>
      </c>
      <c r="J251" s="2" t="str">
        <f>_xlfn.XLOOKUP(tblOrder[[#This Row],[Kundkod]], tblKund[Kundkod], tblKund[Kund], "Okänd kund")</f>
        <v>Industrikomponenter</v>
      </c>
      <c r="K251" s="2">
        <f>tblOrder[[#This Row],[Antal]]*tblOrder[[#This Row],[Styckpris]]</f>
        <v>40000</v>
      </c>
      <c r="L251" s="14">
        <f>_xlfn.XLOOKUP(tblOrder[[#This Row],[Antal]], tblRabatt[Min antal], tblRabatt[Rabattsats], , -1)</f>
        <v>0</v>
      </c>
      <c r="M251" s="19">
        <f t="shared" si="3"/>
        <v>16960</v>
      </c>
    </row>
    <row r="252" spans="1:13" x14ac:dyDescent="0.25">
      <c r="A252" s="4" t="s">
        <v>346</v>
      </c>
      <c r="B252" s="8">
        <v>46146</v>
      </c>
      <c r="C252" s="4" t="s">
        <v>341</v>
      </c>
      <c r="D252" s="4" t="s">
        <v>31</v>
      </c>
      <c r="E252" s="4" t="s">
        <v>59</v>
      </c>
      <c r="F252" s="3">
        <v>498</v>
      </c>
      <c r="G252" s="2" t="str">
        <f>_xlfn.XLOOKUP(tblOrder[[#This Row],[Produktkod]], tblProd[Produktkod], tblProd[Produktnamn])</f>
        <v>Fästplatta FP-A4</v>
      </c>
      <c r="H252" s="2">
        <f>_xlfn.XLOOKUP(tblOrder[[#This Row],[Produktkod]], tblProd[Produktkod], tblProd[Styckpris])</f>
        <v>480</v>
      </c>
      <c r="I252" s="2">
        <f>_xlfn.XLOOKUP(tblOrder[[#This Row],[Produktkod]], tblProd[Produktkod], tblProd[Självkostnad/st])</f>
        <v>260</v>
      </c>
      <c r="J252" s="2" t="str">
        <f>_xlfn.XLOOKUP(tblOrder[[#This Row],[Kundkod]], tblKund[Kundkod], tblKund[Kund], "Okänd kund")</f>
        <v>Kongsberg Automotive</v>
      </c>
      <c r="K252" s="2">
        <f>tblOrder[[#This Row],[Antal]]*tblOrder[[#This Row],[Styckpris]]</f>
        <v>239040</v>
      </c>
      <c r="L252" s="14">
        <f>_xlfn.XLOOKUP(tblOrder[[#This Row],[Antal]], tblRabatt[Min antal], tblRabatt[Rabattsats], , -1)</f>
        <v>0.08</v>
      </c>
      <c r="M252" s="19">
        <f t="shared" si="3"/>
        <v>109560</v>
      </c>
    </row>
    <row r="253" spans="1:13" x14ac:dyDescent="0.25">
      <c r="A253" s="4" t="s">
        <v>347</v>
      </c>
      <c r="B253" s="8">
        <v>46147</v>
      </c>
      <c r="C253" s="4" t="s">
        <v>341</v>
      </c>
      <c r="D253" s="4" t="s">
        <v>33</v>
      </c>
      <c r="E253" s="4" t="s">
        <v>65</v>
      </c>
      <c r="F253" s="3">
        <v>74</v>
      </c>
      <c r="G253" s="2" t="str">
        <f>_xlfn.XLOOKUP(tblOrder[[#This Row],[Produktkod]], tblProd[Produktkod], tblProd[Produktnamn])</f>
        <v>Skruvkit SK-100</v>
      </c>
      <c r="H253" s="2">
        <f>_xlfn.XLOOKUP(tblOrder[[#This Row],[Produktkod]], tblProd[Produktkod], tblProd[Styckpris])</f>
        <v>320</v>
      </c>
      <c r="I253" s="2">
        <f>_xlfn.XLOOKUP(tblOrder[[#This Row],[Produktkod]], tblProd[Produktkod], tblProd[Självkostnad/st])</f>
        <v>165</v>
      </c>
      <c r="J253" s="2" t="str">
        <f>_xlfn.XLOOKUP(tblOrder[[#This Row],[Kundkod]], tblKund[Kundkod], tblKund[Kund], "Okänd kund")</f>
        <v>Wärtsilä</v>
      </c>
      <c r="K253" s="2">
        <f>tblOrder[[#This Row],[Antal]]*tblOrder[[#This Row],[Styckpris]]</f>
        <v>23680</v>
      </c>
      <c r="L253" s="14">
        <f>_xlfn.XLOOKUP(tblOrder[[#This Row],[Antal]], tblRabatt[Min antal], tblRabatt[Rabattsats], , -1)</f>
        <v>0.03</v>
      </c>
      <c r="M253" s="19">
        <f t="shared" si="3"/>
        <v>11470</v>
      </c>
    </row>
    <row r="254" spans="1:13" x14ac:dyDescent="0.25">
      <c r="A254" s="4" t="s">
        <v>348</v>
      </c>
      <c r="B254" s="8">
        <v>46148</v>
      </c>
      <c r="C254" s="4" t="s">
        <v>341</v>
      </c>
      <c r="D254" s="4" t="s">
        <v>47</v>
      </c>
      <c r="E254" s="4" t="s">
        <v>74</v>
      </c>
      <c r="F254" s="3">
        <v>58</v>
      </c>
      <c r="G254" s="2" t="str">
        <f>_xlfn.XLOOKUP(tblOrder[[#This Row],[Produktkod]], tblProd[Produktkod], tblProd[Produktnamn])</f>
        <v>Packningssats PS-3</v>
      </c>
      <c r="H254" s="2">
        <f>_xlfn.XLOOKUP(tblOrder[[#This Row],[Produktkod]], tblProd[Produktkod], tblProd[Styckpris])</f>
        <v>145</v>
      </c>
      <c r="I254" s="2">
        <f>_xlfn.XLOOKUP(tblOrder[[#This Row],[Produktkod]], tblProd[Produktkod], tblProd[Självkostnad/st])</f>
        <v>68</v>
      </c>
      <c r="J254" s="2" t="str">
        <f>_xlfn.XLOOKUP(tblOrder[[#This Row],[Kundkod]], tblKund[Kundkod], tblKund[Kund], "Okänd kund")</f>
        <v>Nordic Parts AS</v>
      </c>
      <c r="K254" s="2">
        <f>tblOrder[[#This Row],[Antal]]*tblOrder[[#This Row],[Styckpris]]</f>
        <v>8410</v>
      </c>
      <c r="L254" s="14">
        <f>_xlfn.XLOOKUP(tblOrder[[#This Row],[Antal]], tblRabatt[Min antal], tblRabatt[Rabattsats], , -1)</f>
        <v>0.03</v>
      </c>
      <c r="M254" s="19">
        <f t="shared" si="3"/>
        <v>4466</v>
      </c>
    </row>
    <row r="255" spans="1:13" x14ac:dyDescent="0.25">
      <c r="A255" s="4" t="s">
        <v>349</v>
      </c>
      <c r="B255" s="8">
        <v>46148</v>
      </c>
      <c r="C255" s="4" t="s">
        <v>341</v>
      </c>
      <c r="D255" s="4" t="s">
        <v>42</v>
      </c>
      <c r="E255" s="4" t="s">
        <v>68</v>
      </c>
      <c r="F255" s="3">
        <v>177</v>
      </c>
      <c r="G255" s="2" t="str">
        <f>_xlfn.XLOOKUP(tblOrder[[#This Row],[Produktkod]], tblProd[Produktkod], tblProd[Produktnamn])</f>
        <v>Lagersats LS-22</v>
      </c>
      <c r="H255" s="2">
        <f>_xlfn.XLOOKUP(tblOrder[[#This Row],[Produktkod]], tblProd[Produktkod], tblProd[Styckpris])</f>
        <v>650</v>
      </c>
      <c r="I255" s="2">
        <f>_xlfn.XLOOKUP(tblOrder[[#This Row],[Produktkod]], tblProd[Produktkod], tblProd[Självkostnad/st])</f>
        <v>380</v>
      </c>
      <c r="J255" s="2" t="str">
        <f>_xlfn.XLOOKUP(tblOrder[[#This Row],[Kundkod]], tblKund[Kundkod], tblKund[Kund], "Okänd kund")</f>
        <v>Bosch Rexroth</v>
      </c>
      <c r="K255" s="2">
        <f>tblOrder[[#This Row],[Antal]]*tblOrder[[#This Row],[Styckpris]]</f>
        <v>115050</v>
      </c>
      <c r="L255" s="14">
        <f>_xlfn.XLOOKUP(tblOrder[[#This Row],[Antal]], tblRabatt[Min antal], tblRabatt[Rabattsats], , -1)</f>
        <v>0.05</v>
      </c>
      <c r="M255" s="19">
        <f t="shared" si="3"/>
        <v>47790</v>
      </c>
    </row>
    <row r="256" spans="1:13" x14ac:dyDescent="0.25">
      <c r="A256" s="4" t="s">
        <v>350</v>
      </c>
      <c r="B256" s="8">
        <v>46148</v>
      </c>
      <c r="C256" s="4" t="s">
        <v>341</v>
      </c>
      <c r="D256" s="4" t="s">
        <v>33</v>
      </c>
      <c r="E256" s="4" t="s">
        <v>53</v>
      </c>
      <c r="F256" s="3">
        <v>70</v>
      </c>
      <c r="G256" s="2" t="str">
        <f>_xlfn.XLOOKUP(tblOrder[[#This Row],[Produktkod]], tblProd[Produktkod], tblProd[Produktnamn])</f>
        <v>Skruvkit SK-100</v>
      </c>
      <c r="H256" s="2">
        <f>_xlfn.XLOOKUP(tblOrder[[#This Row],[Produktkod]], tblProd[Produktkod], tblProd[Styckpris])</f>
        <v>320</v>
      </c>
      <c r="I256" s="2">
        <f>_xlfn.XLOOKUP(tblOrder[[#This Row],[Produktkod]], tblProd[Produktkod], tblProd[Självkostnad/st])</f>
        <v>165</v>
      </c>
      <c r="J256" s="2" t="str">
        <f>_xlfn.XLOOKUP(tblOrder[[#This Row],[Kundkod]], tblKund[Kundkod], tblKund[Kund], "Okänd kund")</f>
        <v>Volvo Lastvagnar</v>
      </c>
      <c r="K256" s="2">
        <f>tblOrder[[#This Row],[Antal]]*tblOrder[[#This Row],[Styckpris]]</f>
        <v>22400</v>
      </c>
      <c r="L256" s="14">
        <f>_xlfn.XLOOKUP(tblOrder[[#This Row],[Antal]], tblRabatt[Min antal], tblRabatt[Rabattsats], , -1)</f>
        <v>0.03</v>
      </c>
      <c r="M256" s="19">
        <f t="shared" si="3"/>
        <v>10850</v>
      </c>
    </row>
    <row r="257" spans="1:13" x14ac:dyDescent="0.25">
      <c r="A257" s="4" t="s">
        <v>351</v>
      </c>
      <c r="B257" s="8">
        <v>46148</v>
      </c>
      <c r="C257" s="4" t="s">
        <v>341</v>
      </c>
      <c r="D257" s="4" t="s">
        <v>42</v>
      </c>
      <c r="E257" s="4" t="s">
        <v>76</v>
      </c>
      <c r="F257" s="3">
        <v>96</v>
      </c>
      <c r="G257" s="2" t="str">
        <f>_xlfn.XLOOKUP(tblOrder[[#This Row],[Produktkod]], tblProd[Produktkod], tblProd[Produktnamn])</f>
        <v>Lagersats LS-22</v>
      </c>
      <c r="H257" s="2">
        <f>_xlfn.XLOOKUP(tblOrder[[#This Row],[Produktkod]], tblProd[Produktkod], tblProd[Styckpris])</f>
        <v>650</v>
      </c>
      <c r="I257" s="2">
        <f>_xlfn.XLOOKUP(tblOrder[[#This Row],[Produktkod]], tblProd[Produktkod], tblProd[Självkostnad/st])</f>
        <v>380</v>
      </c>
      <c r="J257" s="2" t="str">
        <f>_xlfn.XLOOKUP(tblOrder[[#This Row],[Kundkod]], tblKund[Kundkod], tblKund[Kund], "Okänd kund")</f>
        <v>Maskin &amp; Verktyg</v>
      </c>
      <c r="K257" s="2">
        <f>tblOrder[[#This Row],[Antal]]*tblOrder[[#This Row],[Styckpris]]</f>
        <v>62400</v>
      </c>
      <c r="L257" s="14">
        <f>_xlfn.XLOOKUP(tblOrder[[#This Row],[Antal]], tblRabatt[Min antal], tblRabatt[Rabattsats], , -1)</f>
        <v>0.03</v>
      </c>
      <c r="M257" s="19">
        <f t="shared" si="3"/>
        <v>25920</v>
      </c>
    </row>
    <row r="258" spans="1:13" x14ac:dyDescent="0.25">
      <c r="A258" s="4" t="s">
        <v>352</v>
      </c>
      <c r="B258" s="8">
        <v>46149</v>
      </c>
      <c r="C258" s="4" t="s">
        <v>341</v>
      </c>
      <c r="D258" s="4" t="s">
        <v>35</v>
      </c>
      <c r="E258" s="4" t="s">
        <v>79</v>
      </c>
      <c r="F258" s="3">
        <v>72</v>
      </c>
      <c r="G258" s="2" t="str">
        <f>_xlfn.XLOOKUP(tblOrder[[#This Row],[Produktkod]], tblProd[Produktkod], tblProd[Produktnamn])</f>
        <v>Styrenhet CU-X1</v>
      </c>
      <c r="H258" s="2">
        <f>_xlfn.XLOOKUP(tblOrder[[#This Row],[Produktkod]], tblProd[Produktkod], tblProd[Styckpris])</f>
        <v>12500</v>
      </c>
      <c r="I258" s="2">
        <f>_xlfn.XLOOKUP(tblOrder[[#This Row],[Produktkod]], tblProd[Produktkod], tblProd[Självkostnad/st])</f>
        <v>8200</v>
      </c>
      <c r="J258" s="2" t="str">
        <f>_xlfn.XLOOKUP(tblOrder[[#This Row],[Kundkod]], tblKund[Kundkod], tblKund[Kund], "Okänd kund")</f>
        <v>Industrikomponenter</v>
      </c>
      <c r="K258" s="2">
        <f>tblOrder[[#This Row],[Antal]]*tblOrder[[#This Row],[Styckpris]]</f>
        <v>900000</v>
      </c>
      <c r="L258" s="14">
        <f>_xlfn.XLOOKUP(tblOrder[[#This Row],[Antal]], tblRabatt[Min antal], tblRabatt[Rabattsats], , -1)</f>
        <v>0.03</v>
      </c>
      <c r="M258" s="19">
        <f t="shared" ref="M258:M321" si="4">K258-F258*I258</f>
        <v>309600</v>
      </c>
    </row>
    <row r="259" spans="1:13" x14ac:dyDescent="0.25">
      <c r="A259" s="4" t="s">
        <v>353</v>
      </c>
      <c r="B259" s="8">
        <v>46149</v>
      </c>
      <c r="C259" s="4" t="s">
        <v>341</v>
      </c>
      <c r="D259" s="4" t="s">
        <v>28</v>
      </c>
      <c r="E259" s="4" t="s">
        <v>68</v>
      </c>
      <c r="F259" s="3">
        <v>95</v>
      </c>
      <c r="G259" s="2" t="str">
        <f>_xlfn.XLOOKUP(tblOrder[[#This Row],[Produktkod]], tblProd[Produktkod], tblProd[Produktnamn])</f>
        <v>Montagesats MS-10</v>
      </c>
      <c r="H259" s="2">
        <f>_xlfn.XLOOKUP(tblOrder[[#This Row],[Produktkod]], tblProd[Produktkod], tblProd[Styckpris])</f>
        <v>1250</v>
      </c>
      <c r="I259" s="2">
        <f>_xlfn.XLOOKUP(tblOrder[[#This Row],[Produktkod]], tblProd[Produktkod], tblProd[Självkostnad/st])</f>
        <v>720</v>
      </c>
      <c r="J259" s="2" t="str">
        <f>_xlfn.XLOOKUP(tblOrder[[#This Row],[Kundkod]], tblKund[Kundkod], tblKund[Kund], "Okänd kund")</f>
        <v>Bosch Rexroth</v>
      </c>
      <c r="K259" s="2">
        <f>tblOrder[[#This Row],[Antal]]*tblOrder[[#This Row],[Styckpris]]</f>
        <v>118750</v>
      </c>
      <c r="L259" s="14">
        <f>_xlfn.XLOOKUP(tblOrder[[#This Row],[Antal]], tblRabatt[Min antal], tblRabatt[Rabattsats], , -1)</f>
        <v>0.03</v>
      </c>
      <c r="M259" s="19">
        <f t="shared" si="4"/>
        <v>50350</v>
      </c>
    </row>
    <row r="260" spans="1:13" x14ac:dyDescent="0.25">
      <c r="A260" s="4" t="s">
        <v>354</v>
      </c>
      <c r="B260" s="8">
        <v>46151</v>
      </c>
      <c r="C260" s="4" t="s">
        <v>341</v>
      </c>
      <c r="D260" s="4" t="s">
        <v>31</v>
      </c>
      <c r="E260" s="4" t="s">
        <v>57</v>
      </c>
      <c r="F260" s="3">
        <v>203</v>
      </c>
      <c r="G260" s="2" t="str">
        <f>_xlfn.XLOOKUP(tblOrder[[#This Row],[Produktkod]], tblProd[Produktkod], tblProd[Produktnamn])</f>
        <v>Fästplatta FP-A4</v>
      </c>
      <c r="H260" s="2">
        <f>_xlfn.XLOOKUP(tblOrder[[#This Row],[Produktkod]], tblProd[Produktkod], tblProd[Styckpris])</f>
        <v>480</v>
      </c>
      <c r="I260" s="2">
        <f>_xlfn.XLOOKUP(tblOrder[[#This Row],[Produktkod]], tblProd[Produktkod], tblProd[Självkostnad/st])</f>
        <v>260</v>
      </c>
      <c r="J260" s="2" t="str">
        <f>_xlfn.XLOOKUP(tblOrder[[#This Row],[Kundkod]], tblKund[Kundkod], tblKund[Kund], "Okänd kund")</f>
        <v>Scania CV</v>
      </c>
      <c r="K260" s="2">
        <f>tblOrder[[#This Row],[Antal]]*tblOrder[[#This Row],[Styckpris]]</f>
        <v>97440</v>
      </c>
      <c r="L260" s="14">
        <f>_xlfn.XLOOKUP(tblOrder[[#This Row],[Antal]], tblRabatt[Min antal], tblRabatt[Rabattsats], , -1)</f>
        <v>0.05</v>
      </c>
      <c r="M260" s="19">
        <f t="shared" si="4"/>
        <v>44660</v>
      </c>
    </row>
    <row r="261" spans="1:13" x14ac:dyDescent="0.25">
      <c r="A261" s="4" t="s">
        <v>355</v>
      </c>
      <c r="B261" s="8">
        <v>46151</v>
      </c>
      <c r="C261" s="4" t="s">
        <v>341</v>
      </c>
      <c r="D261" s="4" t="s">
        <v>24</v>
      </c>
      <c r="E261" s="4" t="s">
        <v>57</v>
      </c>
      <c r="F261" s="3">
        <v>24</v>
      </c>
      <c r="G261" s="2" t="str">
        <f>_xlfn.XLOOKUP(tblOrder[[#This Row],[Produktkod]], tblProd[Produktkod], tblProd[Produktnamn])</f>
        <v>Hydraulpump HP-200</v>
      </c>
      <c r="H261" s="2">
        <f>_xlfn.XLOOKUP(tblOrder[[#This Row],[Produktkod]], tblProd[Produktkod], tblProd[Styckpris])</f>
        <v>8900</v>
      </c>
      <c r="I261" s="2">
        <f>_xlfn.XLOOKUP(tblOrder[[#This Row],[Produktkod]], tblProd[Produktkod], tblProd[Självkostnad/st])</f>
        <v>5600</v>
      </c>
      <c r="J261" s="2" t="str">
        <f>_xlfn.XLOOKUP(tblOrder[[#This Row],[Kundkod]], tblKund[Kundkod], tblKund[Kund], "Okänd kund")</f>
        <v>Scania CV</v>
      </c>
      <c r="K261" s="2">
        <f>tblOrder[[#This Row],[Antal]]*tblOrder[[#This Row],[Styckpris]]</f>
        <v>213600</v>
      </c>
      <c r="L261" s="14">
        <f>_xlfn.XLOOKUP(tblOrder[[#This Row],[Antal]], tblRabatt[Min antal], tblRabatt[Rabattsats], , -1)</f>
        <v>0</v>
      </c>
      <c r="M261" s="19">
        <f t="shared" si="4"/>
        <v>79200</v>
      </c>
    </row>
    <row r="262" spans="1:13" x14ac:dyDescent="0.25">
      <c r="A262" s="4" t="s">
        <v>356</v>
      </c>
      <c r="B262" s="8">
        <v>46151</v>
      </c>
      <c r="C262" s="4" t="s">
        <v>341</v>
      </c>
      <c r="D262" s="4" t="s">
        <v>38</v>
      </c>
      <c r="E262" s="4" t="s">
        <v>62</v>
      </c>
      <c r="F262" s="3">
        <v>231</v>
      </c>
      <c r="G262" s="2" t="str">
        <f>_xlfn.XLOOKUP(tblOrder[[#This Row],[Produktkod]], tblProd[Produktkod], tblProd[Produktnamn])</f>
        <v>Sensor S-45</v>
      </c>
      <c r="H262" s="2">
        <f>_xlfn.XLOOKUP(tblOrder[[#This Row],[Produktkod]], tblProd[Produktkod], tblProd[Styckpris])</f>
        <v>2100</v>
      </c>
      <c r="I262" s="2">
        <f>_xlfn.XLOOKUP(tblOrder[[#This Row],[Produktkod]], tblProd[Produktkod], tblProd[Självkostnad/st])</f>
        <v>1180</v>
      </c>
      <c r="J262" s="2" t="str">
        <f>_xlfn.XLOOKUP(tblOrder[[#This Row],[Kundkod]], tblKund[Kundkod], tblKund[Kund], "Okänd kund")</f>
        <v>Danfoss A/S</v>
      </c>
      <c r="K262" s="2">
        <f>tblOrder[[#This Row],[Antal]]*tblOrder[[#This Row],[Styckpris]]</f>
        <v>485100</v>
      </c>
      <c r="L262" s="14">
        <f>_xlfn.XLOOKUP(tblOrder[[#This Row],[Antal]], tblRabatt[Min antal], tblRabatt[Rabattsats], , -1)</f>
        <v>0.05</v>
      </c>
      <c r="M262" s="19">
        <f t="shared" si="4"/>
        <v>212520</v>
      </c>
    </row>
    <row r="263" spans="1:13" x14ac:dyDescent="0.25">
      <c r="A263" s="4" t="s">
        <v>357</v>
      </c>
      <c r="B263" s="8">
        <v>46152</v>
      </c>
      <c r="C263" s="4" t="s">
        <v>341</v>
      </c>
      <c r="D263" s="4" t="s">
        <v>40</v>
      </c>
      <c r="E263" s="4" t="s">
        <v>59</v>
      </c>
      <c r="F263" s="3">
        <v>42</v>
      </c>
      <c r="G263" s="2" t="str">
        <f>_xlfn.XLOOKUP(tblOrder[[#This Row],[Produktkod]], tblProd[Produktkod], tblProd[Produktnamn])</f>
        <v>Kabelhärva KH-7</v>
      </c>
      <c r="H263" s="2">
        <f>_xlfn.XLOOKUP(tblOrder[[#This Row],[Produktkod]], tblProd[Produktkod], tblProd[Styckpris])</f>
        <v>890</v>
      </c>
      <c r="I263" s="2">
        <f>_xlfn.XLOOKUP(tblOrder[[#This Row],[Produktkod]], tblProd[Produktkod], tblProd[Självkostnad/st])</f>
        <v>510</v>
      </c>
      <c r="J263" s="2" t="str">
        <f>_xlfn.XLOOKUP(tblOrder[[#This Row],[Kundkod]], tblKund[Kundkod], tblKund[Kund], "Okänd kund")</f>
        <v>Kongsberg Automotive</v>
      </c>
      <c r="K263" s="2">
        <f>tblOrder[[#This Row],[Antal]]*tblOrder[[#This Row],[Styckpris]]</f>
        <v>37380</v>
      </c>
      <c r="L263" s="14">
        <f>_xlfn.XLOOKUP(tblOrder[[#This Row],[Antal]], tblRabatt[Min antal], tblRabatt[Rabattsats], , -1)</f>
        <v>0</v>
      </c>
      <c r="M263" s="19">
        <f t="shared" si="4"/>
        <v>15960</v>
      </c>
    </row>
    <row r="264" spans="1:13" x14ac:dyDescent="0.25">
      <c r="A264" s="4" t="s">
        <v>358</v>
      </c>
      <c r="B264" s="8">
        <v>46152</v>
      </c>
      <c r="C264" s="4" t="s">
        <v>341</v>
      </c>
      <c r="D264" s="4" t="s">
        <v>28</v>
      </c>
      <c r="E264" s="4" t="s">
        <v>74</v>
      </c>
      <c r="F264" s="3">
        <v>284</v>
      </c>
      <c r="G264" s="2" t="str">
        <f>_xlfn.XLOOKUP(tblOrder[[#This Row],[Produktkod]], tblProd[Produktkod], tblProd[Produktnamn])</f>
        <v>Montagesats MS-10</v>
      </c>
      <c r="H264" s="2">
        <f>_xlfn.XLOOKUP(tblOrder[[#This Row],[Produktkod]], tblProd[Produktkod], tblProd[Styckpris])</f>
        <v>1250</v>
      </c>
      <c r="I264" s="2">
        <f>_xlfn.XLOOKUP(tblOrder[[#This Row],[Produktkod]], tblProd[Produktkod], tblProd[Självkostnad/st])</f>
        <v>720</v>
      </c>
      <c r="J264" s="2" t="str">
        <f>_xlfn.XLOOKUP(tblOrder[[#This Row],[Kundkod]], tblKund[Kundkod], tblKund[Kund], "Okänd kund")</f>
        <v>Nordic Parts AS</v>
      </c>
      <c r="K264" s="2">
        <f>tblOrder[[#This Row],[Antal]]*tblOrder[[#This Row],[Styckpris]]</f>
        <v>355000</v>
      </c>
      <c r="L264" s="14">
        <f>_xlfn.XLOOKUP(tblOrder[[#This Row],[Antal]], tblRabatt[Min antal], tblRabatt[Rabattsats], , -1)</f>
        <v>0.08</v>
      </c>
      <c r="M264" s="19">
        <f t="shared" si="4"/>
        <v>150520</v>
      </c>
    </row>
    <row r="265" spans="1:13" x14ac:dyDescent="0.25">
      <c r="A265" s="4" t="s">
        <v>359</v>
      </c>
      <c r="B265" s="8">
        <v>46153</v>
      </c>
      <c r="C265" s="4" t="s">
        <v>341</v>
      </c>
      <c r="D265" s="4" t="s">
        <v>42</v>
      </c>
      <c r="E265" s="4" t="s">
        <v>71</v>
      </c>
      <c r="F265" s="3">
        <v>41</v>
      </c>
      <c r="G265" s="2" t="str">
        <f>_xlfn.XLOOKUP(tblOrder[[#This Row],[Produktkod]], tblProd[Produktkod], tblProd[Produktnamn])</f>
        <v>Lagersats LS-22</v>
      </c>
      <c r="H265" s="2">
        <f>_xlfn.XLOOKUP(tblOrder[[#This Row],[Produktkod]], tblProd[Produktkod], tblProd[Styckpris])</f>
        <v>650</v>
      </c>
      <c r="I265" s="2">
        <f>_xlfn.XLOOKUP(tblOrder[[#This Row],[Produktkod]], tblProd[Produktkod], tblProd[Självkostnad/st])</f>
        <v>380</v>
      </c>
      <c r="J265" s="2" t="str">
        <f>_xlfn.XLOOKUP(tblOrder[[#This Row],[Kundkod]], tblKund[Kundkod], tblKund[Kund], "Okänd kund")</f>
        <v>Hydraul-Service AB</v>
      </c>
      <c r="K265" s="2">
        <f>tblOrder[[#This Row],[Antal]]*tblOrder[[#This Row],[Styckpris]]</f>
        <v>26650</v>
      </c>
      <c r="L265" s="14">
        <f>_xlfn.XLOOKUP(tblOrder[[#This Row],[Antal]], tblRabatt[Min antal], tblRabatt[Rabattsats], , -1)</f>
        <v>0</v>
      </c>
      <c r="M265" s="19">
        <f t="shared" si="4"/>
        <v>11070</v>
      </c>
    </row>
    <row r="266" spans="1:13" x14ac:dyDescent="0.25">
      <c r="A266" s="4" t="s">
        <v>360</v>
      </c>
      <c r="B266" s="8">
        <v>46154</v>
      </c>
      <c r="C266" s="4" t="s">
        <v>341</v>
      </c>
      <c r="D266" s="4" t="s">
        <v>26</v>
      </c>
      <c r="E266" s="4" t="s">
        <v>57</v>
      </c>
      <c r="F266" s="3">
        <v>183</v>
      </c>
      <c r="G266" s="2" t="str">
        <f>_xlfn.XLOOKUP(tblOrder[[#This Row],[Produktkod]], tblProd[Produktkod], tblProd[Produktnamn])</f>
        <v>Ventilblock VB-30</v>
      </c>
      <c r="H266" s="2">
        <f>_xlfn.XLOOKUP(tblOrder[[#This Row],[Produktkod]], tblProd[Produktkod], tblProd[Styckpris])</f>
        <v>3200</v>
      </c>
      <c r="I266" s="2">
        <f>_xlfn.XLOOKUP(tblOrder[[#This Row],[Produktkod]], tblProd[Produktkod], tblProd[Självkostnad/st])</f>
        <v>1950</v>
      </c>
      <c r="J266" s="2" t="str">
        <f>_xlfn.XLOOKUP(tblOrder[[#This Row],[Kundkod]], tblKund[Kundkod], tblKund[Kund], "Okänd kund")</f>
        <v>Scania CV</v>
      </c>
      <c r="K266" s="2">
        <f>tblOrder[[#This Row],[Antal]]*tblOrder[[#This Row],[Styckpris]]</f>
        <v>585600</v>
      </c>
      <c r="L266" s="14">
        <f>_xlfn.XLOOKUP(tblOrder[[#This Row],[Antal]], tblRabatt[Min antal], tblRabatt[Rabattsats], , -1)</f>
        <v>0.05</v>
      </c>
      <c r="M266" s="19">
        <f t="shared" si="4"/>
        <v>228750</v>
      </c>
    </row>
    <row r="267" spans="1:13" x14ac:dyDescent="0.25">
      <c r="A267" s="4" t="s">
        <v>361</v>
      </c>
      <c r="B267" s="8">
        <v>46155</v>
      </c>
      <c r="C267" s="4" t="s">
        <v>341</v>
      </c>
      <c r="D267" s="4" t="s">
        <v>38</v>
      </c>
      <c r="E267" s="4" t="s">
        <v>74</v>
      </c>
      <c r="F267" s="3">
        <v>68</v>
      </c>
      <c r="G267" s="2" t="str">
        <f>_xlfn.XLOOKUP(tblOrder[[#This Row],[Produktkod]], tblProd[Produktkod], tblProd[Produktnamn])</f>
        <v>Sensor S-45</v>
      </c>
      <c r="H267" s="2">
        <f>_xlfn.XLOOKUP(tblOrder[[#This Row],[Produktkod]], tblProd[Produktkod], tblProd[Styckpris])</f>
        <v>2100</v>
      </c>
      <c r="I267" s="2">
        <f>_xlfn.XLOOKUP(tblOrder[[#This Row],[Produktkod]], tblProd[Produktkod], tblProd[Självkostnad/st])</f>
        <v>1180</v>
      </c>
      <c r="J267" s="2" t="str">
        <f>_xlfn.XLOOKUP(tblOrder[[#This Row],[Kundkod]], tblKund[Kundkod], tblKund[Kund], "Okänd kund")</f>
        <v>Nordic Parts AS</v>
      </c>
      <c r="K267" s="2">
        <f>tblOrder[[#This Row],[Antal]]*tblOrder[[#This Row],[Styckpris]]</f>
        <v>142800</v>
      </c>
      <c r="L267" s="14">
        <f>_xlfn.XLOOKUP(tblOrder[[#This Row],[Antal]], tblRabatt[Min antal], tblRabatt[Rabattsats], , -1)</f>
        <v>0.03</v>
      </c>
      <c r="M267" s="19">
        <f t="shared" si="4"/>
        <v>62560</v>
      </c>
    </row>
    <row r="268" spans="1:13" x14ac:dyDescent="0.25">
      <c r="A268" s="4" t="s">
        <v>362</v>
      </c>
      <c r="B268" s="8">
        <v>46155</v>
      </c>
      <c r="C268" s="4" t="s">
        <v>341</v>
      </c>
      <c r="D268" s="4" t="s">
        <v>42</v>
      </c>
      <c r="E268" s="4" t="s">
        <v>121</v>
      </c>
      <c r="F268" s="3">
        <v>99</v>
      </c>
      <c r="G268" s="2" t="str">
        <f>_xlfn.XLOOKUP(tblOrder[[#This Row],[Produktkod]], tblProd[Produktkod], tblProd[Produktnamn])</f>
        <v>Lagersats LS-22</v>
      </c>
      <c r="H268" s="2">
        <f>_xlfn.XLOOKUP(tblOrder[[#This Row],[Produktkod]], tblProd[Produktkod], tblProd[Styckpris])</f>
        <v>650</v>
      </c>
      <c r="I268" s="2">
        <f>_xlfn.XLOOKUP(tblOrder[[#This Row],[Produktkod]], tblProd[Produktkod], tblProd[Självkostnad/st])</f>
        <v>380</v>
      </c>
      <c r="J268" s="2" t="str">
        <f>_xlfn.XLOOKUP(tblOrder[[#This Row],[Kundkod]], tblKund[Kundkod], tblKund[Kund], "Okänd kund")</f>
        <v>Okänd kund</v>
      </c>
      <c r="K268" s="2">
        <f>tblOrder[[#This Row],[Antal]]*tblOrder[[#This Row],[Styckpris]]</f>
        <v>64350</v>
      </c>
      <c r="L268" s="14">
        <f>_xlfn.XLOOKUP(tblOrder[[#This Row],[Antal]], tblRabatt[Min antal], tblRabatt[Rabattsats], , -1)</f>
        <v>0.03</v>
      </c>
      <c r="M268" s="19">
        <f t="shared" si="4"/>
        <v>26730</v>
      </c>
    </row>
    <row r="269" spans="1:13" x14ac:dyDescent="0.25">
      <c r="A269" s="4" t="s">
        <v>363</v>
      </c>
      <c r="B269" s="8">
        <v>46155</v>
      </c>
      <c r="C269" s="4" t="s">
        <v>341</v>
      </c>
      <c r="D269" s="4" t="s">
        <v>26</v>
      </c>
      <c r="E269" s="4" t="s">
        <v>59</v>
      </c>
      <c r="F269" s="3">
        <v>61</v>
      </c>
      <c r="G269" s="2" t="str">
        <f>_xlfn.XLOOKUP(tblOrder[[#This Row],[Produktkod]], tblProd[Produktkod], tblProd[Produktnamn])</f>
        <v>Ventilblock VB-30</v>
      </c>
      <c r="H269" s="2">
        <f>_xlfn.XLOOKUP(tblOrder[[#This Row],[Produktkod]], tblProd[Produktkod], tblProd[Styckpris])</f>
        <v>3200</v>
      </c>
      <c r="I269" s="2">
        <f>_xlfn.XLOOKUP(tblOrder[[#This Row],[Produktkod]], tblProd[Produktkod], tblProd[Självkostnad/st])</f>
        <v>1950</v>
      </c>
      <c r="J269" s="2" t="str">
        <f>_xlfn.XLOOKUP(tblOrder[[#This Row],[Kundkod]], tblKund[Kundkod], tblKund[Kund], "Okänd kund")</f>
        <v>Kongsberg Automotive</v>
      </c>
      <c r="K269" s="2">
        <f>tblOrder[[#This Row],[Antal]]*tblOrder[[#This Row],[Styckpris]]</f>
        <v>195200</v>
      </c>
      <c r="L269" s="14">
        <f>_xlfn.XLOOKUP(tblOrder[[#This Row],[Antal]], tblRabatt[Min antal], tblRabatt[Rabattsats], , -1)</f>
        <v>0.03</v>
      </c>
      <c r="M269" s="19">
        <f t="shared" si="4"/>
        <v>76250</v>
      </c>
    </row>
    <row r="270" spans="1:13" x14ac:dyDescent="0.25">
      <c r="A270" s="4" t="s">
        <v>364</v>
      </c>
      <c r="B270" s="8">
        <v>46156</v>
      </c>
      <c r="C270" s="4" t="s">
        <v>341</v>
      </c>
      <c r="D270" s="4" t="s">
        <v>38</v>
      </c>
      <c r="E270" s="4" t="s">
        <v>53</v>
      </c>
      <c r="F270" s="3">
        <v>171</v>
      </c>
      <c r="G270" s="2" t="str">
        <f>_xlfn.XLOOKUP(tblOrder[[#This Row],[Produktkod]], tblProd[Produktkod], tblProd[Produktnamn])</f>
        <v>Sensor S-45</v>
      </c>
      <c r="H270" s="2">
        <f>_xlfn.XLOOKUP(tblOrder[[#This Row],[Produktkod]], tblProd[Produktkod], tblProd[Styckpris])</f>
        <v>2100</v>
      </c>
      <c r="I270" s="2">
        <f>_xlfn.XLOOKUP(tblOrder[[#This Row],[Produktkod]], tblProd[Produktkod], tblProd[Självkostnad/st])</f>
        <v>1180</v>
      </c>
      <c r="J270" s="2" t="str">
        <f>_xlfn.XLOOKUP(tblOrder[[#This Row],[Kundkod]], tblKund[Kundkod], tblKund[Kund], "Okänd kund")</f>
        <v>Volvo Lastvagnar</v>
      </c>
      <c r="K270" s="2">
        <f>tblOrder[[#This Row],[Antal]]*tblOrder[[#This Row],[Styckpris]]</f>
        <v>359100</v>
      </c>
      <c r="L270" s="14">
        <f>_xlfn.XLOOKUP(tblOrder[[#This Row],[Antal]], tblRabatt[Min antal], tblRabatt[Rabattsats], , -1)</f>
        <v>0.05</v>
      </c>
      <c r="M270" s="19">
        <f t="shared" si="4"/>
        <v>157320</v>
      </c>
    </row>
    <row r="271" spans="1:13" x14ac:dyDescent="0.25">
      <c r="A271" s="4" t="s">
        <v>365</v>
      </c>
      <c r="B271" s="8">
        <v>46156</v>
      </c>
      <c r="C271" s="4" t="s">
        <v>341</v>
      </c>
      <c r="D271" s="4" t="s">
        <v>35</v>
      </c>
      <c r="E271" s="4" t="s">
        <v>62</v>
      </c>
      <c r="F271" s="3">
        <v>45</v>
      </c>
      <c r="G271" s="2" t="str">
        <f>_xlfn.XLOOKUP(tblOrder[[#This Row],[Produktkod]], tblProd[Produktkod], tblProd[Produktnamn])</f>
        <v>Styrenhet CU-X1</v>
      </c>
      <c r="H271" s="2">
        <f>_xlfn.XLOOKUP(tblOrder[[#This Row],[Produktkod]], tblProd[Produktkod], tblProd[Styckpris])</f>
        <v>12500</v>
      </c>
      <c r="I271" s="2">
        <f>_xlfn.XLOOKUP(tblOrder[[#This Row],[Produktkod]], tblProd[Produktkod], tblProd[Självkostnad/st])</f>
        <v>8200</v>
      </c>
      <c r="J271" s="2" t="str">
        <f>_xlfn.XLOOKUP(tblOrder[[#This Row],[Kundkod]], tblKund[Kundkod], tblKund[Kund], "Okänd kund")</f>
        <v>Danfoss A/S</v>
      </c>
      <c r="K271" s="2">
        <f>tblOrder[[#This Row],[Antal]]*tblOrder[[#This Row],[Styckpris]]</f>
        <v>562500</v>
      </c>
      <c r="L271" s="14">
        <f>_xlfn.XLOOKUP(tblOrder[[#This Row],[Antal]], tblRabatt[Min antal], tblRabatt[Rabattsats], , -1)</f>
        <v>0</v>
      </c>
      <c r="M271" s="19">
        <f t="shared" si="4"/>
        <v>193500</v>
      </c>
    </row>
    <row r="272" spans="1:13" x14ac:dyDescent="0.25">
      <c r="A272" s="4" t="s">
        <v>366</v>
      </c>
      <c r="B272" s="8">
        <v>46157</v>
      </c>
      <c r="C272" s="4" t="s">
        <v>341</v>
      </c>
      <c r="D272" s="4" t="s">
        <v>38</v>
      </c>
      <c r="E272" s="4" t="s">
        <v>76</v>
      </c>
      <c r="F272" s="3">
        <v>162</v>
      </c>
      <c r="G272" s="2" t="str">
        <f>_xlfn.XLOOKUP(tblOrder[[#This Row],[Produktkod]], tblProd[Produktkod], tblProd[Produktnamn])</f>
        <v>Sensor S-45</v>
      </c>
      <c r="H272" s="2">
        <f>_xlfn.XLOOKUP(tblOrder[[#This Row],[Produktkod]], tblProd[Produktkod], tblProd[Styckpris])</f>
        <v>2100</v>
      </c>
      <c r="I272" s="2">
        <f>_xlfn.XLOOKUP(tblOrder[[#This Row],[Produktkod]], tblProd[Produktkod], tblProd[Självkostnad/st])</f>
        <v>1180</v>
      </c>
      <c r="J272" s="2" t="str">
        <f>_xlfn.XLOOKUP(tblOrder[[#This Row],[Kundkod]], tblKund[Kundkod], tblKund[Kund], "Okänd kund")</f>
        <v>Maskin &amp; Verktyg</v>
      </c>
      <c r="K272" s="2">
        <f>tblOrder[[#This Row],[Antal]]*tblOrder[[#This Row],[Styckpris]]</f>
        <v>340200</v>
      </c>
      <c r="L272" s="14">
        <f>_xlfn.XLOOKUP(tblOrder[[#This Row],[Antal]], tblRabatt[Min antal], tblRabatt[Rabattsats], , -1)</f>
        <v>0.05</v>
      </c>
      <c r="M272" s="19">
        <f t="shared" si="4"/>
        <v>149040</v>
      </c>
    </row>
    <row r="273" spans="1:13" x14ac:dyDescent="0.25">
      <c r="A273" s="4" t="s">
        <v>367</v>
      </c>
      <c r="B273" s="8">
        <v>46157</v>
      </c>
      <c r="C273" s="4" t="s">
        <v>341</v>
      </c>
      <c r="D273" s="4" t="s">
        <v>24</v>
      </c>
      <c r="E273" s="4" t="s">
        <v>68</v>
      </c>
      <c r="F273" s="3">
        <v>189</v>
      </c>
      <c r="G273" s="2" t="str">
        <f>_xlfn.XLOOKUP(tblOrder[[#This Row],[Produktkod]], tblProd[Produktkod], tblProd[Produktnamn])</f>
        <v>Hydraulpump HP-200</v>
      </c>
      <c r="H273" s="2">
        <f>_xlfn.XLOOKUP(tblOrder[[#This Row],[Produktkod]], tblProd[Produktkod], tblProd[Styckpris])</f>
        <v>8900</v>
      </c>
      <c r="I273" s="2">
        <f>_xlfn.XLOOKUP(tblOrder[[#This Row],[Produktkod]], tblProd[Produktkod], tblProd[Självkostnad/st])</f>
        <v>5600</v>
      </c>
      <c r="J273" s="2" t="str">
        <f>_xlfn.XLOOKUP(tblOrder[[#This Row],[Kundkod]], tblKund[Kundkod], tblKund[Kund], "Okänd kund")</f>
        <v>Bosch Rexroth</v>
      </c>
      <c r="K273" s="2">
        <f>tblOrder[[#This Row],[Antal]]*tblOrder[[#This Row],[Styckpris]]</f>
        <v>1682100</v>
      </c>
      <c r="L273" s="14">
        <f>_xlfn.XLOOKUP(tblOrder[[#This Row],[Antal]], tblRabatt[Min antal], tblRabatt[Rabattsats], , -1)</f>
        <v>0.05</v>
      </c>
      <c r="M273" s="19">
        <f t="shared" si="4"/>
        <v>623700</v>
      </c>
    </row>
    <row r="274" spans="1:13" x14ac:dyDescent="0.25">
      <c r="A274" s="4" t="s">
        <v>368</v>
      </c>
      <c r="B274" s="8">
        <v>46158</v>
      </c>
      <c r="C274" s="4" t="s">
        <v>341</v>
      </c>
      <c r="D274" s="4" t="s">
        <v>26</v>
      </c>
      <c r="E274" s="4" t="s">
        <v>132</v>
      </c>
      <c r="F274" s="3">
        <v>62</v>
      </c>
      <c r="G274" s="2" t="str">
        <f>_xlfn.XLOOKUP(tblOrder[[#This Row],[Produktkod]], tblProd[Produktkod], tblProd[Produktnamn])</f>
        <v>Ventilblock VB-30</v>
      </c>
      <c r="H274" s="2">
        <f>_xlfn.XLOOKUP(tblOrder[[#This Row],[Produktkod]], tblProd[Produktkod], tblProd[Styckpris])</f>
        <v>3200</v>
      </c>
      <c r="I274" s="2">
        <f>_xlfn.XLOOKUP(tblOrder[[#This Row],[Produktkod]], tblProd[Produktkod], tblProd[Självkostnad/st])</f>
        <v>1950</v>
      </c>
      <c r="J274" s="2" t="str">
        <f>_xlfn.XLOOKUP(tblOrder[[#This Row],[Kundkod]], tblKund[Kundkod], tblKund[Kund], "Okänd kund")</f>
        <v>Okänd kund</v>
      </c>
      <c r="K274" s="2">
        <f>tblOrder[[#This Row],[Antal]]*tblOrder[[#This Row],[Styckpris]]</f>
        <v>198400</v>
      </c>
      <c r="L274" s="14">
        <f>_xlfn.XLOOKUP(tblOrder[[#This Row],[Antal]], tblRabatt[Min antal], tblRabatt[Rabattsats], , -1)</f>
        <v>0.03</v>
      </c>
      <c r="M274" s="19">
        <f t="shared" si="4"/>
        <v>77500</v>
      </c>
    </row>
    <row r="275" spans="1:13" x14ac:dyDescent="0.25">
      <c r="A275" s="4" t="s">
        <v>369</v>
      </c>
      <c r="B275" s="8">
        <v>46158</v>
      </c>
      <c r="C275" s="4" t="s">
        <v>341</v>
      </c>
      <c r="D275" s="4" t="s">
        <v>40</v>
      </c>
      <c r="E275" s="4" t="s">
        <v>59</v>
      </c>
      <c r="F275" s="3">
        <v>48</v>
      </c>
      <c r="G275" s="2" t="str">
        <f>_xlfn.XLOOKUP(tblOrder[[#This Row],[Produktkod]], tblProd[Produktkod], tblProd[Produktnamn])</f>
        <v>Kabelhärva KH-7</v>
      </c>
      <c r="H275" s="2">
        <f>_xlfn.XLOOKUP(tblOrder[[#This Row],[Produktkod]], tblProd[Produktkod], tblProd[Styckpris])</f>
        <v>890</v>
      </c>
      <c r="I275" s="2">
        <f>_xlfn.XLOOKUP(tblOrder[[#This Row],[Produktkod]], tblProd[Produktkod], tblProd[Självkostnad/st])</f>
        <v>510</v>
      </c>
      <c r="J275" s="2" t="str">
        <f>_xlfn.XLOOKUP(tblOrder[[#This Row],[Kundkod]], tblKund[Kundkod], tblKund[Kund], "Okänd kund")</f>
        <v>Kongsberg Automotive</v>
      </c>
      <c r="K275" s="2">
        <f>tblOrder[[#This Row],[Antal]]*tblOrder[[#This Row],[Styckpris]]</f>
        <v>42720</v>
      </c>
      <c r="L275" s="14">
        <f>_xlfn.XLOOKUP(tblOrder[[#This Row],[Antal]], tblRabatt[Min antal], tblRabatt[Rabattsats], , -1)</f>
        <v>0</v>
      </c>
      <c r="M275" s="19">
        <f t="shared" si="4"/>
        <v>18240</v>
      </c>
    </row>
    <row r="276" spans="1:13" x14ac:dyDescent="0.25">
      <c r="A276" s="4" t="s">
        <v>370</v>
      </c>
      <c r="B276" s="8">
        <v>46160</v>
      </c>
      <c r="C276" s="4" t="s">
        <v>341</v>
      </c>
      <c r="D276" s="4" t="s">
        <v>24</v>
      </c>
      <c r="E276" s="4" t="s">
        <v>65</v>
      </c>
      <c r="F276" s="3">
        <v>26</v>
      </c>
      <c r="G276" s="2" t="str">
        <f>_xlfn.XLOOKUP(tblOrder[[#This Row],[Produktkod]], tblProd[Produktkod], tblProd[Produktnamn])</f>
        <v>Hydraulpump HP-200</v>
      </c>
      <c r="H276" s="2">
        <f>_xlfn.XLOOKUP(tblOrder[[#This Row],[Produktkod]], tblProd[Produktkod], tblProd[Styckpris])</f>
        <v>8900</v>
      </c>
      <c r="I276" s="2">
        <f>_xlfn.XLOOKUP(tblOrder[[#This Row],[Produktkod]], tblProd[Produktkod], tblProd[Självkostnad/st])</f>
        <v>5600</v>
      </c>
      <c r="J276" s="2" t="str">
        <f>_xlfn.XLOOKUP(tblOrder[[#This Row],[Kundkod]], tblKund[Kundkod], tblKund[Kund], "Okänd kund")</f>
        <v>Wärtsilä</v>
      </c>
      <c r="K276" s="2">
        <f>tblOrder[[#This Row],[Antal]]*tblOrder[[#This Row],[Styckpris]]</f>
        <v>231400</v>
      </c>
      <c r="L276" s="14">
        <f>_xlfn.XLOOKUP(tblOrder[[#This Row],[Antal]], tblRabatt[Min antal], tblRabatt[Rabattsats], , -1)</f>
        <v>0</v>
      </c>
      <c r="M276" s="19">
        <f t="shared" si="4"/>
        <v>85800</v>
      </c>
    </row>
    <row r="277" spans="1:13" x14ac:dyDescent="0.25">
      <c r="A277" s="4" t="s">
        <v>371</v>
      </c>
      <c r="B277" s="8">
        <v>46160</v>
      </c>
      <c r="C277" s="4" t="s">
        <v>341</v>
      </c>
      <c r="D277" s="4" t="s">
        <v>38</v>
      </c>
      <c r="E277" s="4" t="s">
        <v>132</v>
      </c>
      <c r="F277" s="3">
        <v>87</v>
      </c>
      <c r="G277" s="2" t="str">
        <f>_xlfn.XLOOKUP(tblOrder[[#This Row],[Produktkod]], tblProd[Produktkod], tblProd[Produktnamn])</f>
        <v>Sensor S-45</v>
      </c>
      <c r="H277" s="2">
        <f>_xlfn.XLOOKUP(tblOrder[[#This Row],[Produktkod]], tblProd[Produktkod], tblProd[Styckpris])</f>
        <v>2100</v>
      </c>
      <c r="I277" s="2">
        <f>_xlfn.XLOOKUP(tblOrder[[#This Row],[Produktkod]], tblProd[Produktkod], tblProd[Självkostnad/st])</f>
        <v>1180</v>
      </c>
      <c r="J277" s="2" t="str">
        <f>_xlfn.XLOOKUP(tblOrder[[#This Row],[Kundkod]], tblKund[Kundkod], tblKund[Kund], "Okänd kund")</f>
        <v>Okänd kund</v>
      </c>
      <c r="K277" s="2">
        <f>tblOrder[[#This Row],[Antal]]*tblOrder[[#This Row],[Styckpris]]</f>
        <v>182700</v>
      </c>
      <c r="L277" s="14">
        <f>_xlfn.XLOOKUP(tblOrder[[#This Row],[Antal]], tblRabatt[Min antal], tblRabatt[Rabattsats], , -1)</f>
        <v>0.03</v>
      </c>
      <c r="M277" s="19">
        <f t="shared" si="4"/>
        <v>80040</v>
      </c>
    </row>
    <row r="278" spans="1:13" x14ac:dyDescent="0.25">
      <c r="A278" s="4" t="s">
        <v>372</v>
      </c>
      <c r="B278" s="8">
        <v>46161</v>
      </c>
      <c r="C278" s="4" t="s">
        <v>341</v>
      </c>
      <c r="D278" s="4" t="s">
        <v>40</v>
      </c>
      <c r="E278" s="4" t="s">
        <v>74</v>
      </c>
      <c r="F278" s="3">
        <v>59</v>
      </c>
      <c r="G278" s="2" t="str">
        <f>_xlfn.XLOOKUP(tblOrder[[#This Row],[Produktkod]], tblProd[Produktkod], tblProd[Produktnamn])</f>
        <v>Kabelhärva KH-7</v>
      </c>
      <c r="H278" s="2">
        <f>_xlfn.XLOOKUP(tblOrder[[#This Row],[Produktkod]], tblProd[Produktkod], tblProd[Styckpris])</f>
        <v>890</v>
      </c>
      <c r="I278" s="2">
        <f>_xlfn.XLOOKUP(tblOrder[[#This Row],[Produktkod]], tblProd[Produktkod], tblProd[Självkostnad/st])</f>
        <v>510</v>
      </c>
      <c r="J278" s="2" t="str">
        <f>_xlfn.XLOOKUP(tblOrder[[#This Row],[Kundkod]], tblKund[Kundkod], tblKund[Kund], "Okänd kund")</f>
        <v>Nordic Parts AS</v>
      </c>
      <c r="K278" s="2">
        <f>tblOrder[[#This Row],[Antal]]*tblOrder[[#This Row],[Styckpris]]</f>
        <v>52510</v>
      </c>
      <c r="L278" s="14">
        <f>_xlfn.XLOOKUP(tblOrder[[#This Row],[Antal]], tblRabatt[Min antal], tblRabatt[Rabattsats], , -1)</f>
        <v>0.03</v>
      </c>
      <c r="M278" s="19">
        <f t="shared" si="4"/>
        <v>22420</v>
      </c>
    </row>
    <row r="279" spans="1:13" x14ac:dyDescent="0.25">
      <c r="A279" s="4" t="s">
        <v>373</v>
      </c>
      <c r="B279" s="8">
        <v>46162</v>
      </c>
      <c r="C279" s="4" t="s">
        <v>341</v>
      </c>
      <c r="D279" s="4" t="s">
        <v>31</v>
      </c>
      <c r="E279" s="4" t="s">
        <v>79</v>
      </c>
      <c r="F279" s="3">
        <v>41</v>
      </c>
      <c r="G279" s="2" t="str">
        <f>_xlfn.XLOOKUP(tblOrder[[#This Row],[Produktkod]], tblProd[Produktkod], tblProd[Produktnamn])</f>
        <v>Fästplatta FP-A4</v>
      </c>
      <c r="H279" s="2">
        <f>_xlfn.XLOOKUP(tblOrder[[#This Row],[Produktkod]], tblProd[Produktkod], tblProd[Styckpris])</f>
        <v>480</v>
      </c>
      <c r="I279" s="2">
        <f>_xlfn.XLOOKUP(tblOrder[[#This Row],[Produktkod]], tblProd[Produktkod], tblProd[Självkostnad/st])</f>
        <v>260</v>
      </c>
      <c r="J279" s="2" t="str">
        <f>_xlfn.XLOOKUP(tblOrder[[#This Row],[Kundkod]], tblKund[Kundkod], tblKund[Kund], "Okänd kund")</f>
        <v>Industrikomponenter</v>
      </c>
      <c r="K279" s="2">
        <f>tblOrder[[#This Row],[Antal]]*tblOrder[[#This Row],[Styckpris]]</f>
        <v>19680</v>
      </c>
      <c r="L279" s="14">
        <f>_xlfn.XLOOKUP(tblOrder[[#This Row],[Antal]], tblRabatt[Min antal], tblRabatt[Rabattsats], , -1)</f>
        <v>0</v>
      </c>
      <c r="M279" s="19">
        <f t="shared" si="4"/>
        <v>9020</v>
      </c>
    </row>
    <row r="280" spans="1:13" x14ac:dyDescent="0.25">
      <c r="A280" s="4" t="s">
        <v>374</v>
      </c>
      <c r="B280" s="8">
        <v>46163</v>
      </c>
      <c r="C280" s="4" t="s">
        <v>341</v>
      </c>
      <c r="D280" s="4" t="s">
        <v>42</v>
      </c>
      <c r="E280" s="4" t="s">
        <v>79</v>
      </c>
      <c r="F280" s="3">
        <v>105</v>
      </c>
      <c r="G280" s="2" t="str">
        <f>_xlfn.XLOOKUP(tblOrder[[#This Row],[Produktkod]], tblProd[Produktkod], tblProd[Produktnamn])</f>
        <v>Lagersats LS-22</v>
      </c>
      <c r="H280" s="2">
        <f>_xlfn.XLOOKUP(tblOrder[[#This Row],[Produktkod]], tblProd[Produktkod], tblProd[Styckpris])</f>
        <v>650</v>
      </c>
      <c r="I280" s="2">
        <f>_xlfn.XLOOKUP(tblOrder[[#This Row],[Produktkod]], tblProd[Produktkod], tblProd[Självkostnad/st])</f>
        <v>380</v>
      </c>
      <c r="J280" s="2" t="str">
        <f>_xlfn.XLOOKUP(tblOrder[[#This Row],[Kundkod]], tblKund[Kundkod], tblKund[Kund], "Okänd kund")</f>
        <v>Industrikomponenter</v>
      </c>
      <c r="K280" s="2">
        <f>tblOrder[[#This Row],[Antal]]*tblOrder[[#This Row],[Styckpris]]</f>
        <v>68250</v>
      </c>
      <c r="L280" s="14">
        <f>_xlfn.XLOOKUP(tblOrder[[#This Row],[Antal]], tblRabatt[Min antal], tblRabatt[Rabattsats], , -1)</f>
        <v>0.05</v>
      </c>
      <c r="M280" s="19">
        <f t="shared" si="4"/>
        <v>28350</v>
      </c>
    </row>
    <row r="281" spans="1:13" x14ac:dyDescent="0.25">
      <c r="A281" s="4" t="s">
        <v>375</v>
      </c>
      <c r="B281" s="8">
        <v>46163</v>
      </c>
      <c r="C281" s="4" t="s">
        <v>341</v>
      </c>
      <c r="D281" s="4" t="s">
        <v>21</v>
      </c>
      <c r="E281" s="4" t="s">
        <v>76</v>
      </c>
      <c r="F281" s="3">
        <v>155</v>
      </c>
      <c r="G281" s="2" t="str">
        <f>_xlfn.XLOOKUP(tblOrder[[#This Row],[Produktkod]], tblProd[Produktkod], tblProd[Produktnamn])</f>
        <v>Hydraulcylinder HC-50</v>
      </c>
      <c r="H281" s="2">
        <f>_xlfn.XLOOKUP(tblOrder[[#This Row],[Produktkod]], tblProd[Produktkod], tblProd[Styckpris])</f>
        <v>4500</v>
      </c>
      <c r="I281" s="2">
        <f>_xlfn.XLOOKUP(tblOrder[[#This Row],[Produktkod]], tblProd[Produktkod], tblProd[Självkostnad/st])</f>
        <v>2800</v>
      </c>
      <c r="J281" s="2" t="str">
        <f>_xlfn.XLOOKUP(tblOrder[[#This Row],[Kundkod]], tblKund[Kundkod], tblKund[Kund], "Okänd kund")</f>
        <v>Maskin &amp; Verktyg</v>
      </c>
      <c r="K281" s="2">
        <f>tblOrder[[#This Row],[Antal]]*tblOrder[[#This Row],[Styckpris]]</f>
        <v>697500</v>
      </c>
      <c r="L281" s="14">
        <f>_xlfn.XLOOKUP(tblOrder[[#This Row],[Antal]], tblRabatt[Min antal], tblRabatt[Rabattsats], , -1)</f>
        <v>0.05</v>
      </c>
      <c r="M281" s="19">
        <f t="shared" si="4"/>
        <v>263500</v>
      </c>
    </row>
    <row r="282" spans="1:13" x14ac:dyDescent="0.25">
      <c r="A282" s="4" t="s">
        <v>376</v>
      </c>
      <c r="B282" s="8">
        <v>46164</v>
      </c>
      <c r="C282" s="4" t="s">
        <v>341</v>
      </c>
      <c r="D282" s="4" t="s">
        <v>28</v>
      </c>
      <c r="E282" s="4" t="s">
        <v>68</v>
      </c>
      <c r="F282" s="3">
        <v>317</v>
      </c>
      <c r="G282" s="2" t="str">
        <f>_xlfn.XLOOKUP(tblOrder[[#This Row],[Produktkod]], tblProd[Produktkod], tblProd[Produktnamn])</f>
        <v>Montagesats MS-10</v>
      </c>
      <c r="H282" s="2">
        <f>_xlfn.XLOOKUP(tblOrder[[#This Row],[Produktkod]], tblProd[Produktkod], tblProd[Styckpris])</f>
        <v>1250</v>
      </c>
      <c r="I282" s="2">
        <f>_xlfn.XLOOKUP(tblOrder[[#This Row],[Produktkod]], tblProd[Produktkod], tblProd[Självkostnad/st])</f>
        <v>720</v>
      </c>
      <c r="J282" s="2" t="str">
        <f>_xlfn.XLOOKUP(tblOrder[[#This Row],[Kundkod]], tblKund[Kundkod], tblKund[Kund], "Okänd kund")</f>
        <v>Bosch Rexroth</v>
      </c>
      <c r="K282" s="2">
        <f>tblOrder[[#This Row],[Antal]]*tblOrder[[#This Row],[Styckpris]]</f>
        <v>396250</v>
      </c>
      <c r="L282" s="14">
        <f>_xlfn.XLOOKUP(tblOrder[[#This Row],[Antal]], tblRabatt[Min antal], tblRabatt[Rabattsats], , -1)</f>
        <v>0.08</v>
      </c>
      <c r="M282" s="19">
        <f t="shared" si="4"/>
        <v>168010</v>
      </c>
    </row>
    <row r="283" spans="1:13" x14ac:dyDescent="0.25">
      <c r="A283" s="4" t="s">
        <v>377</v>
      </c>
      <c r="B283" s="8">
        <v>46164</v>
      </c>
      <c r="C283" s="4" t="s">
        <v>341</v>
      </c>
      <c r="D283" s="4" t="s">
        <v>21</v>
      </c>
      <c r="E283" s="4" t="s">
        <v>68</v>
      </c>
      <c r="F283" s="3">
        <v>74</v>
      </c>
      <c r="G283" s="2" t="str">
        <f>_xlfn.XLOOKUP(tblOrder[[#This Row],[Produktkod]], tblProd[Produktkod], tblProd[Produktnamn])</f>
        <v>Hydraulcylinder HC-50</v>
      </c>
      <c r="H283" s="2">
        <f>_xlfn.XLOOKUP(tblOrder[[#This Row],[Produktkod]], tblProd[Produktkod], tblProd[Styckpris])</f>
        <v>4500</v>
      </c>
      <c r="I283" s="2">
        <f>_xlfn.XLOOKUP(tblOrder[[#This Row],[Produktkod]], tblProd[Produktkod], tblProd[Självkostnad/st])</f>
        <v>2800</v>
      </c>
      <c r="J283" s="2" t="str">
        <f>_xlfn.XLOOKUP(tblOrder[[#This Row],[Kundkod]], tblKund[Kundkod], tblKund[Kund], "Okänd kund")</f>
        <v>Bosch Rexroth</v>
      </c>
      <c r="K283" s="2">
        <f>tblOrder[[#This Row],[Antal]]*tblOrder[[#This Row],[Styckpris]]</f>
        <v>333000</v>
      </c>
      <c r="L283" s="14">
        <f>_xlfn.XLOOKUP(tblOrder[[#This Row],[Antal]], tblRabatt[Min antal], tblRabatt[Rabattsats], , -1)</f>
        <v>0.03</v>
      </c>
      <c r="M283" s="19">
        <f t="shared" si="4"/>
        <v>125800</v>
      </c>
    </row>
    <row r="284" spans="1:13" x14ac:dyDescent="0.25">
      <c r="A284" s="4" t="s">
        <v>378</v>
      </c>
      <c r="B284" s="8">
        <v>46165</v>
      </c>
      <c r="C284" s="4" t="s">
        <v>341</v>
      </c>
      <c r="D284" s="4" t="s">
        <v>33</v>
      </c>
      <c r="E284" s="4" t="s">
        <v>76</v>
      </c>
      <c r="F284" s="3">
        <v>172</v>
      </c>
      <c r="G284" s="2" t="str">
        <f>_xlfn.XLOOKUP(tblOrder[[#This Row],[Produktkod]], tblProd[Produktkod], tblProd[Produktnamn])</f>
        <v>Skruvkit SK-100</v>
      </c>
      <c r="H284" s="2">
        <f>_xlfn.XLOOKUP(tblOrder[[#This Row],[Produktkod]], tblProd[Produktkod], tblProd[Styckpris])</f>
        <v>320</v>
      </c>
      <c r="I284" s="2">
        <f>_xlfn.XLOOKUP(tblOrder[[#This Row],[Produktkod]], tblProd[Produktkod], tblProd[Självkostnad/st])</f>
        <v>165</v>
      </c>
      <c r="J284" s="2" t="str">
        <f>_xlfn.XLOOKUP(tblOrder[[#This Row],[Kundkod]], tblKund[Kundkod], tblKund[Kund], "Okänd kund")</f>
        <v>Maskin &amp; Verktyg</v>
      </c>
      <c r="K284" s="2">
        <f>tblOrder[[#This Row],[Antal]]*tblOrder[[#This Row],[Styckpris]]</f>
        <v>55040</v>
      </c>
      <c r="L284" s="14">
        <f>_xlfn.XLOOKUP(tblOrder[[#This Row],[Antal]], tblRabatt[Min antal], tblRabatt[Rabattsats], , -1)</f>
        <v>0.05</v>
      </c>
      <c r="M284" s="19">
        <f t="shared" si="4"/>
        <v>26660</v>
      </c>
    </row>
    <row r="285" spans="1:13" x14ac:dyDescent="0.25">
      <c r="A285" s="4" t="s">
        <v>379</v>
      </c>
      <c r="B285" s="8">
        <v>46167</v>
      </c>
      <c r="C285" s="4" t="s">
        <v>341</v>
      </c>
      <c r="D285" s="4" t="s">
        <v>40</v>
      </c>
      <c r="E285" s="4" t="s">
        <v>74</v>
      </c>
      <c r="F285" s="3">
        <v>26</v>
      </c>
      <c r="G285" s="2" t="str">
        <f>_xlfn.XLOOKUP(tblOrder[[#This Row],[Produktkod]], tblProd[Produktkod], tblProd[Produktnamn])</f>
        <v>Kabelhärva KH-7</v>
      </c>
      <c r="H285" s="2">
        <f>_xlfn.XLOOKUP(tblOrder[[#This Row],[Produktkod]], tblProd[Produktkod], tblProd[Styckpris])</f>
        <v>890</v>
      </c>
      <c r="I285" s="2">
        <f>_xlfn.XLOOKUP(tblOrder[[#This Row],[Produktkod]], tblProd[Produktkod], tblProd[Självkostnad/st])</f>
        <v>510</v>
      </c>
      <c r="J285" s="2" t="str">
        <f>_xlfn.XLOOKUP(tblOrder[[#This Row],[Kundkod]], tblKund[Kundkod], tblKund[Kund], "Okänd kund")</f>
        <v>Nordic Parts AS</v>
      </c>
      <c r="K285" s="2">
        <f>tblOrder[[#This Row],[Antal]]*tblOrder[[#This Row],[Styckpris]]</f>
        <v>23140</v>
      </c>
      <c r="L285" s="14">
        <f>_xlfn.XLOOKUP(tblOrder[[#This Row],[Antal]], tblRabatt[Min antal], tblRabatt[Rabattsats], , -1)</f>
        <v>0</v>
      </c>
      <c r="M285" s="19">
        <f t="shared" si="4"/>
        <v>9880</v>
      </c>
    </row>
    <row r="286" spans="1:13" x14ac:dyDescent="0.25">
      <c r="A286" s="4" t="s">
        <v>380</v>
      </c>
      <c r="B286" s="8">
        <v>46167</v>
      </c>
      <c r="C286" s="4" t="s">
        <v>341</v>
      </c>
      <c r="D286" s="4" t="s">
        <v>38</v>
      </c>
      <c r="E286" s="4" t="s">
        <v>76</v>
      </c>
      <c r="F286" s="3">
        <v>23</v>
      </c>
      <c r="G286" s="2" t="str">
        <f>_xlfn.XLOOKUP(tblOrder[[#This Row],[Produktkod]], tblProd[Produktkod], tblProd[Produktnamn])</f>
        <v>Sensor S-45</v>
      </c>
      <c r="H286" s="2">
        <f>_xlfn.XLOOKUP(tblOrder[[#This Row],[Produktkod]], tblProd[Produktkod], tblProd[Styckpris])</f>
        <v>2100</v>
      </c>
      <c r="I286" s="2">
        <f>_xlfn.XLOOKUP(tblOrder[[#This Row],[Produktkod]], tblProd[Produktkod], tblProd[Självkostnad/st])</f>
        <v>1180</v>
      </c>
      <c r="J286" s="2" t="str">
        <f>_xlfn.XLOOKUP(tblOrder[[#This Row],[Kundkod]], tblKund[Kundkod], tblKund[Kund], "Okänd kund")</f>
        <v>Maskin &amp; Verktyg</v>
      </c>
      <c r="K286" s="2">
        <f>tblOrder[[#This Row],[Antal]]*tblOrder[[#This Row],[Styckpris]]</f>
        <v>48300</v>
      </c>
      <c r="L286" s="14">
        <f>_xlfn.XLOOKUP(tblOrder[[#This Row],[Antal]], tblRabatt[Min antal], tblRabatt[Rabattsats], , -1)</f>
        <v>0</v>
      </c>
      <c r="M286" s="19">
        <f t="shared" si="4"/>
        <v>21160</v>
      </c>
    </row>
    <row r="287" spans="1:13" x14ac:dyDescent="0.25">
      <c r="A287" s="4" t="s">
        <v>381</v>
      </c>
      <c r="B287" s="8">
        <v>46168</v>
      </c>
      <c r="C287" s="4" t="s">
        <v>341</v>
      </c>
      <c r="D287" s="4" t="s">
        <v>24</v>
      </c>
      <c r="E287" s="4" t="s">
        <v>74</v>
      </c>
      <c r="F287" s="3">
        <v>19</v>
      </c>
      <c r="G287" s="2" t="str">
        <f>_xlfn.XLOOKUP(tblOrder[[#This Row],[Produktkod]], tblProd[Produktkod], tblProd[Produktnamn])</f>
        <v>Hydraulpump HP-200</v>
      </c>
      <c r="H287" s="2">
        <f>_xlfn.XLOOKUP(tblOrder[[#This Row],[Produktkod]], tblProd[Produktkod], tblProd[Styckpris])</f>
        <v>8900</v>
      </c>
      <c r="I287" s="2">
        <f>_xlfn.XLOOKUP(tblOrder[[#This Row],[Produktkod]], tblProd[Produktkod], tblProd[Självkostnad/st])</f>
        <v>5600</v>
      </c>
      <c r="J287" s="2" t="str">
        <f>_xlfn.XLOOKUP(tblOrder[[#This Row],[Kundkod]], tblKund[Kundkod], tblKund[Kund], "Okänd kund")</f>
        <v>Nordic Parts AS</v>
      </c>
      <c r="K287" s="2">
        <f>tblOrder[[#This Row],[Antal]]*tblOrder[[#This Row],[Styckpris]]</f>
        <v>169100</v>
      </c>
      <c r="L287" s="14">
        <f>_xlfn.XLOOKUP(tblOrder[[#This Row],[Antal]], tblRabatt[Min antal], tblRabatt[Rabattsats], , -1)</f>
        <v>0</v>
      </c>
      <c r="M287" s="19">
        <f t="shared" si="4"/>
        <v>62700</v>
      </c>
    </row>
    <row r="288" spans="1:13" x14ac:dyDescent="0.25">
      <c r="A288" s="4" t="s">
        <v>382</v>
      </c>
      <c r="B288" s="8">
        <v>46168</v>
      </c>
      <c r="C288" s="4" t="s">
        <v>341</v>
      </c>
      <c r="D288" s="4" t="s">
        <v>42</v>
      </c>
      <c r="E288" s="4" t="s">
        <v>53</v>
      </c>
      <c r="F288" s="3">
        <v>310</v>
      </c>
      <c r="G288" s="2" t="str">
        <f>_xlfn.XLOOKUP(tblOrder[[#This Row],[Produktkod]], tblProd[Produktkod], tblProd[Produktnamn])</f>
        <v>Lagersats LS-22</v>
      </c>
      <c r="H288" s="2">
        <f>_xlfn.XLOOKUP(tblOrder[[#This Row],[Produktkod]], tblProd[Produktkod], tblProd[Styckpris])</f>
        <v>650</v>
      </c>
      <c r="I288" s="2">
        <f>_xlfn.XLOOKUP(tblOrder[[#This Row],[Produktkod]], tblProd[Produktkod], tblProd[Självkostnad/st])</f>
        <v>380</v>
      </c>
      <c r="J288" s="2" t="str">
        <f>_xlfn.XLOOKUP(tblOrder[[#This Row],[Kundkod]], tblKund[Kundkod], tblKund[Kund], "Okänd kund")</f>
        <v>Volvo Lastvagnar</v>
      </c>
      <c r="K288" s="2">
        <f>tblOrder[[#This Row],[Antal]]*tblOrder[[#This Row],[Styckpris]]</f>
        <v>201500</v>
      </c>
      <c r="L288" s="14">
        <f>_xlfn.XLOOKUP(tblOrder[[#This Row],[Antal]], tblRabatt[Min antal], tblRabatt[Rabattsats], , -1)</f>
        <v>0.08</v>
      </c>
      <c r="M288" s="19">
        <f t="shared" si="4"/>
        <v>83700</v>
      </c>
    </row>
    <row r="289" spans="1:13" x14ac:dyDescent="0.25">
      <c r="A289" s="4" t="s">
        <v>383</v>
      </c>
      <c r="B289" s="8">
        <v>46168</v>
      </c>
      <c r="C289" s="4" t="s">
        <v>341</v>
      </c>
      <c r="D289" s="4" t="s">
        <v>21</v>
      </c>
      <c r="E289" s="4" t="s">
        <v>74</v>
      </c>
      <c r="F289" s="3">
        <v>46</v>
      </c>
      <c r="G289" s="2" t="str">
        <f>_xlfn.XLOOKUP(tblOrder[[#This Row],[Produktkod]], tblProd[Produktkod], tblProd[Produktnamn])</f>
        <v>Hydraulcylinder HC-50</v>
      </c>
      <c r="H289" s="2">
        <f>_xlfn.XLOOKUP(tblOrder[[#This Row],[Produktkod]], tblProd[Produktkod], tblProd[Styckpris])</f>
        <v>4500</v>
      </c>
      <c r="I289" s="2">
        <f>_xlfn.XLOOKUP(tblOrder[[#This Row],[Produktkod]], tblProd[Produktkod], tblProd[Självkostnad/st])</f>
        <v>2800</v>
      </c>
      <c r="J289" s="2" t="str">
        <f>_xlfn.XLOOKUP(tblOrder[[#This Row],[Kundkod]], tblKund[Kundkod], tblKund[Kund], "Okänd kund")</f>
        <v>Nordic Parts AS</v>
      </c>
      <c r="K289" s="2">
        <f>tblOrder[[#This Row],[Antal]]*tblOrder[[#This Row],[Styckpris]]</f>
        <v>207000</v>
      </c>
      <c r="L289" s="14">
        <f>_xlfn.XLOOKUP(tblOrder[[#This Row],[Antal]], tblRabatt[Min antal], tblRabatt[Rabattsats], , -1)</f>
        <v>0</v>
      </c>
      <c r="M289" s="19">
        <f t="shared" si="4"/>
        <v>78200</v>
      </c>
    </row>
    <row r="290" spans="1:13" x14ac:dyDescent="0.25">
      <c r="A290" s="4" t="s">
        <v>384</v>
      </c>
      <c r="B290" s="8">
        <v>46169</v>
      </c>
      <c r="C290" s="4" t="s">
        <v>341</v>
      </c>
      <c r="D290" s="4" t="s">
        <v>24</v>
      </c>
      <c r="E290" s="4" t="s">
        <v>65</v>
      </c>
      <c r="F290" s="3">
        <v>19</v>
      </c>
      <c r="G290" s="2" t="str">
        <f>_xlfn.XLOOKUP(tblOrder[[#This Row],[Produktkod]], tblProd[Produktkod], tblProd[Produktnamn])</f>
        <v>Hydraulpump HP-200</v>
      </c>
      <c r="H290" s="2">
        <f>_xlfn.XLOOKUP(tblOrder[[#This Row],[Produktkod]], tblProd[Produktkod], tblProd[Styckpris])</f>
        <v>8900</v>
      </c>
      <c r="I290" s="2">
        <f>_xlfn.XLOOKUP(tblOrder[[#This Row],[Produktkod]], tblProd[Produktkod], tblProd[Självkostnad/st])</f>
        <v>5600</v>
      </c>
      <c r="J290" s="2" t="str">
        <f>_xlfn.XLOOKUP(tblOrder[[#This Row],[Kundkod]], tblKund[Kundkod], tblKund[Kund], "Okänd kund")</f>
        <v>Wärtsilä</v>
      </c>
      <c r="K290" s="2">
        <f>tblOrder[[#This Row],[Antal]]*tblOrder[[#This Row],[Styckpris]]</f>
        <v>169100</v>
      </c>
      <c r="L290" s="14">
        <f>_xlfn.XLOOKUP(tblOrder[[#This Row],[Antal]], tblRabatt[Min antal], tblRabatt[Rabattsats], , -1)</f>
        <v>0</v>
      </c>
      <c r="M290" s="19">
        <f t="shared" si="4"/>
        <v>62700</v>
      </c>
    </row>
    <row r="291" spans="1:13" x14ac:dyDescent="0.25">
      <c r="A291" s="4" t="s">
        <v>385</v>
      </c>
      <c r="B291" s="8">
        <v>46169</v>
      </c>
      <c r="C291" s="4" t="s">
        <v>341</v>
      </c>
      <c r="D291" s="4" t="s">
        <v>33</v>
      </c>
      <c r="E291" s="4" t="s">
        <v>62</v>
      </c>
      <c r="F291" s="3">
        <v>13</v>
      </c>
      <c r="G291" s="2" t="str">
        <f>_xlfn.XLOOKUP(tblOrder[[#This Row],[Produktkod]], tblProd[Produktkod], tblProd[Produktnamn])</f>
        <v>Skruvkit SK-100</v>
      </c>
      <c r="H291" s="2">
        <f>_xlfn.XLOOKUP(tblOrder[[#This Row],[Produktkod]], tblProd[Produktkod], tblProd[Styckpris])</f>
        <v>320</v>
      </c>
      <c r="I291" s="2">
        <f>_xlfn.XLOOKUP(tblOrder[[#This Row],[Produktkod]], tblProd[Produktkod], tblProd[Självkostnad/st])</f>
        <v>165</v>
      </c>
      <c r="J291" s="2" t="str">
        <f>_xlfn.XLOOKUP(tblOrder[[#This Row],[Kundkod]], tblKund[Kundkod], tblKund[Kund], "Okänd kund")</f>
        <v>Danfoss A/S</v>
      </c>
      <c r="K291" s="2">
        <f>tblOrder[[#This Row],[Antal]]*tblOrder[[#This Row],[Styckpris]]</f>
        <v>4160</v>
      </c>
      <c r="L291" s="14">
        <f>_xlfn.XLOOKUP(tblOrder[[#This Row],[Antal]], tblRabatt[Min antal], tblRabatt[Rabattsats], , -1)</f>
        <v>0</v>
      </c>
      <c r="M291" s="19">
        <f t="shared" si="4"/>
        <v>2015</v>
      </c>
    </row>
    <row r="292" spans="1:13" x14ac:dyDescent="0.25">
      <c r="A292" s="4" t="s">
        <v>386</v>
      </c>
      <c r="B292" s="8">
        <v>46169</v>
      </c>
      <c r="C292" s="4" t="s">
        <v>341</v>
      </c>
      <c r="D292" s="4" t="s">
        <v>40</v>
      </c>
      <c r="E292" s="4" t="s">
        <v>68</v>
      </c>
      <c r="F292" s="3">
        <v>31</v>
      </c>
      <c r="G292" s="2" t="str">
        <f>_xlfn.XLOOKUP(tblOrder[[#This Row],[Produktkod]], tblProd[Produktkod], tblProd[Produktnamn])</f>
        <v>Kabelhärva KH-7</v>
      </c>
      <c r="H292" s="2">
        <f>_xlfn.XLOOKUP(tblOrder[[#This Row],[Produktkod]], tblProd[Produktkod], tblProd[Styckpris])</f>
        <v>890</v>
      </c>
      <c r="I292" s="2">
        <f>_xlfn.XLOOKUP(tblOrder[[#This Row],[Produktkod]], tblProd[Produktkod], tblProd[Självkostnad/st])</f>
        <v>510</v>
      </c>
      <c r="J292" s="2" t="str">
        <f>_xlfn.XLOOKUP(tblOrder[[#This Row],[Kundkod]], tblKund[Kundkod], tblKund[Kund], "Okänd kund")</f>
        <v>Bosch Rexroth</v>
      </c>
      <c r="K292" s="2">
        <f>tblOrder[[#This Row],[Antal]]*tblOrder[[#This Row],[Styckpris]]</f>
        <v>27590</v>
      </c>
      <c r="L292" s="14">
        <f>_xlfn.XLOOKUP(tblOrder[[#This Row],[Antal]], tblRabatt[Min antal], tblRabatt[Rabattsats], , -1)</f>
        <v>0</v>
      </c>
      <c r="M292" s="19">
        <f t="shared" si="4"/>
        <v>11780</v>
      </c>
    </row>
    <row r="293" spans="1:13" x14ac:dyDescent="0.25">
      <c r="A293" s="4" t="s">
        <v>387</v>
      </c>
      <c r="B293" s="8">
        <v>46169</v>
      </c>
      <c r="C293" s="4" t="s">
        <v>341</v>
      </c>
      <c r="D293" s="4" t="s">
        <v>26</v>
      </c>
      <c r="E293" s="4" t="s">
        <v>74</v>
      </c>
      <c r="F293" s="3">
        <v>511</v>
      </c>
      <c r="G293" s="2" t="str">
        <f>_xlfn.XLOOKUP(tblOrder[[#This Row],[Produktkod]], tblProd[Produktkod], tblProd[Produktnamn])</f>
        <v>Ventilblock VB-30</v>
      </c>
      <c r="H293" s="2">
        <f>_xlfn.XLOOKUP(tblOrder[[#This Row],[Produktkod]], tblProd[Produktkod], tblProd[Styckpris])</f>
        <v>3200</v>
      </c>
      <c r="I293" s="2">
        <f>_xlfn.XLOOKUP(tblOrder[[#This Row],[Produktkod]], tblProd[Produktkod], tblProd[Självkostnad/st])</f>
        <v>1950</v>
      </c>
      <c r="J293" s="2" t="str">
        <f>_xlfn.XLOOKUP(tblOrder[[#This Row],[Kundkod]], tblKund[Kundkod], tblKund[Kund], "Okänd kund")</f>
        <v>Nordic Parts AS</v>
      </c>
      <c r="K293" s="2">
        <f>tblOrder[[#This Row],[Antal]]*tblOrder[[#This Row],[Styckpris]]</f>
        <v>1635200</v>
      </c>
      <c r="L293" s="14">
        <f>_xlfn.XLOOKUP(tblOrder[[#This Row],[Antal]], tblRabatt[Min antal], tblRabatt[Rabattsats], , -1)</f>
        <v>0.12</v>
      </c>
      <c r="M293" s="19">
        <f t="shared" si="4"/>
        <v>638750</v>
      </c>
    </row>
    <row r="294" spans="1:13" x14ac:dyDescent="0.25">
      <c r="A294" s="4" t="s">
        <v>388</v>
      </c>
      <c r="B294" s="8">
        <v>46170</v>
      </c>
      <c r="C294" s="4" t="s">
        <v>341</v>
      </c>
      <c r="D294" s="4" t="s">
        <v>33</v>
      </c>
      <c r="E294" s="4" t="s">
        <v>79</v>
      </c>
      <c r="F294" s="3">
        <v>280</v>
      </c>
      <c r="G294" s="2" t="str">
        <f>_xlfn.XLOOKUP(tblOrder[[#This Row],[Produktkod]], tblProd[Produktkod], tblProd[Produktnamn])</f>
        <v>Skruvkit SK-100</v>
      </c>
      <c r="H294" s="2">
        <f>_xlfn.XLOOKUP(tblOrder[[#This Row],[Produktkod]], tblProd[Produktkod], tblProd[Styckpris])</f>
        <v>320</v>
      </c>
      <c r="I294" s="2">
        <f>_xlfn.XLOOKUP(tblOrder[[#This Row],[Produktkod]], tblProd[Produktkod], tblProd[Självkostnad/st])</f>
        <v>165</v>
      </c>
      <c r="J294" s="2" t="str">
        <f>_xlfn.XLOOKUP(tblOrder[[#This Row],[Kundkod]], tblKund[Kundkod], tblKund[Kund], "Okänd kund")</f>
        <v>Industrikomponenter</v>
      </c>
      <c r="K294" s="2">
        <f>tblOrder[[#This Row],[Antal]]*tblOrder[[#This Row],[Styckpris]]</f>
        <v>89600</v>
      </c>
      <c r="L294" s="14">
        <f>_xlfn.XLOOKUP(tblOrder[[#This Row],[Antal]], tblRabatt[Min antal], tblRabatt[Rabattsats], , -1)</f>
        <v>0.08</v>
      </c>
      <c r="M294" s="19">
        <f t="shared" si="4"/>
        <v>43400</v>
      </c>
    </row>
    <row r="295" spans="1:13" x14ac:dyDescent="0.25">
      <c r="A295" s="4" t="s">
        <v>389</v>
      </c>
      <c r="B295" s="8">
        <v>46174</v>
      </c>
      <c r="C295" s="4" t="s">
        <v>390</v>
      </c>
      <c r="D295" s="4" t="s">
        <v>42</v>
      </c>
      <c r="E295" s="4" t="s">
        <v>71</v>
      </c>
      <c r="F295" s="3">
        <v>27</v>
      </c>
      <c r="G295" s="2" t="str">
        <f>_xlfn.XLOOKUP(tblOrder[[#This Row],[Produktkod]], tblProd[Produktkod], tblProd[Produktnamn])</f>
        <v>Lagersats LS-22</v>
      </c>
      <c r="H295" s="2">
        <f>_xlfn.XLOOKUP(tblOrder[[#This Row],[Produktkod]], tblProd[Produktkod], tblProd[Styckpris])</f>
        <v>650</v>
      </c>
      <c r="I295" s="2">
        <f>_xlfn.XLOOKUP(tblOrder[[#This Row],[Produktkod]], tblProd[Produktkod], tblProd[Självkostnad/st])</f>
        <v>380</v>
      </c>
      <c r="J295" s="2" t="str">
        <f>_xlfn.XLOOKUP(tblOrder[[#This Row],[Kundkod]], tblKund[Kundkod], tblKund[Kund], "Okänd kund")</f>
        <v>Hydraul-Service AB</v>
      </c>
      <c r="K295" s="2">
        <f>tblOrder[[#This Row],[Antal]]*tblOrder[[#This Row],[Styckpris]]</f>
        <v>17550</v>
      </c>
      <c r="L295" s="14">
        <f>_xlfn.XLOOKUP(tblOrder[[#This Row],[Antal]], tblRabatt[Min antal], tblRabatt[Rabattsats], , -1)</f>
        <v>0</v>
      </c>
      <c r="M295" s="19">
        <f t="shared" si="4"/>
        <v>7290</v>
      </c>
    </row>
    <row r="296" spans="1:13" x14ac:dyDescent="0.25">
      <c r="A296" s="4" t="s">
        <v>391</v>
      </c>
      <c r="B296" s="8">
        <v>46174</v>
      </c>
      <c r="C296" s="4" t="s">
        <v>390</v>
      </c>
      <c r="D296" s="4" t="s">
        <v>33</v>
      </c>
      <c r="E296" s="4" t="s">
        <v>71</v>
      </c>
      <c r="F296" s="3">
        <v>309</v>
      </c>
      <c r="G296" s="2" t="str">
        <f>_xlfn.XLOOKUP(tblOrder[[#This Row],[Produktkod]], tblProd[Produktkod], tblProd[Produktnamn])</f>
        <v>Skruvkit SK-100</v>
      </c>
      <c r="H296" s="2">
        <f>_xlfn.XLOOKUP(tblOrder[[#This Row],[Produktkod]], tblProd[Produktkod], tblProd[Styckpris])</f>
        <v>320</v>
      </c>
      <c r="I296" s="2">
        <f>_xlfn.XLOOKUP(tblOrder[[#This Row],[Produktkod]], tblProd[Produktkod], tblProd[Självkostnad/st])</f>
        <v>165</v>
      </c>
      <c r="J296" s="2" t="str">
        <f>_xlfn.XLOOKUP(tblOrder[[#This Row],[Kundkod]], tblKund[Kundkod], tblKund[Kund], "Okänd kund")</f>
        <v>Hydraul-Service AB</v>
      </c>
      <c r="K296" s="2">
        <f>tblOrder[[#This Row],[Antal]]*tblOrder[[#This Row],[Styckpris]]</f>
        <v>98880</v>
      </c>
      <c r="L296" s="14">
        <f>_xlfn.XLOOKUP(tblOrder[[#This Row],[Antal]], tblRabatt[Min antal], tblRabatt[Rabattsats], , -1)</f>
        <v>0.08</v>
      </c>
      <c r="M296" s="19">
        <f t="shared" si="4"/>
        <v>47895</v>
      </c>
    </row>
    <row r="297" spans="1:13" x14ac:dyDescent="0.25">
      <c r="A297" s="4" t="s">
        <v>392</v>
      </c>
      <c r="B297" s="8">
        <v>46174</v>
      </c>
      <c r="C297" s="4" t="s">
        <v>390</v>
      </c>
      <c r="D297" s="4" t="s">
        <v>45</v>
      </c>
      <c r="E297" s="4" t="s">
        <v>65</v>
      </c>
      <c r="F297" s="3">
        <v>83</v>
      </c>
      <c r="G297" s="2" t="str">
        <f>_xlfn.XLOOKUP(tblOrder[[#This Row],[Produktkod]], tblProd[Produktkod], tblProd[Produktnamn])</f>
        <v>Tätningskit TK-9</v>
      </c>
      <c r="H297" s="2">
        <f>_xlfn.XLOOKUP(tblOrder[[#This Row],[Produktkod]], tblProd[Produktkod], tblProd[Styckpris])</f>
        <v>210</v>
      </c>
      <c r="I297" s="2">
        <f>_xlfn.XLOOKUP(tblOrder[[#This Row],[Produktkod]], tblProd[Produktkod], tblProd[Självkostnad/st])</f>
        <v>95</v>
      </c>
      <c r="J297" s="2" t="str">
        <f>_xlfn.XLOOKUP(tblOrder[[#This Row],[Kundkod]], tblKund[Kundkod], tblKund[Kund], "Okänd kund")</f>
        <v>Wärtsilä</v>
      </c>
      <c r="K297" s="2">
        <f>tblOrder[[#This Row],[Antal]]*tblOrder[[#This Row],[Styckpris]]</f>
        <v>17430</v>
      </c>
      <c r="L297" s="14">
        <f>_xlfn.XLOOKUP(tblOrder[[#This Row],[Antal]], tblRabatt[Min antal], tblRabatt[Rabattsats], , -1)</f>
        <v>0.03</v>
      </c>
      <c r="M297" s="19">
        <f t="shared" si="4"/>
        <v>9545</v>
      </c>
    </row>
    <row r="298" spans="1:13" x14ac:dyDescent="0.25">
      <c r="A298" s="4" t="s">
        <v>393</v>
      </c>
      <c r="B298" s="8">
        <v>46174</v>
      </c>
      <c r="C298" s="4" t="s">
        <v>390</v>
      </c>
      <c r="D298" s="4" t="s">
        <v>47</v>
      </c>
      <c r="E298" s="4" t="s">
        <v>68</v>
      </c>
      <c r="F298" s="3">
        <v>596</v>
      </c>
      <c r="G298" s="2" t="str">
        <f>_xlfn.XLOOKUP(tblOrder[[#This Row],[Produktkod]], tblProd[Produktkod], tblProd[Produktnamn])</f>
        <v>Packningssats PS-3</v>
      </c>
      <c r="H298" s="2">
        <f>_xlfn.XLOOKUP(tblOrder[[#This Row],[Produktkod]], tblProd[Produktkod], tblProd[Styckpris])</f>
        <v>145</v>
      </c>
      <c r="I298" s="2">
        <f>_xlfn.XLOOKUP(tblOrder[[#This Row],[Produktkod]], tblProd[Produktkod], tblProd[Självkostnad/st])</f>
        <v>68</v>
      </c>
      <c r="J298" s="2" t="str">
        <f>_xlfn.XLOOKUP(tblOrder[[#This Row],[Kundkod]], tblKund[Kundkod], tblKund[Kund], "Okänd kund")</f>
        <v>Bosch Rexroth</v>
      </c>
      <c r="K298" s="2">
        <f>tblOrder[[#This Row],[Antal]]*tblOrder[[#This Row],[Styckpris]]</f>
        <v>86420</v>
      </c>
      <c r="L298" s="14">
        <f>_xlfn.XLOOKUP(tblOrder[[#This Row],[Antal]], tblRabatt[Min antal], tblRabatt[Rabattsats], , -1)</f>
        <v>0.12</v>
      </c>
      <c r="M298" s="19">
        <f t="shared" si="4"/>
        <v>45892</v>
      </c>
    </row>
    <row r="299" spans="1:13" x14ac:dyDescent="0.25">
      <c r="A299" s="4" t="s">
        <v>394</v>
      </c>
      <c r="B299" s="8">
        <v>46174</v>
      </c>
      <c r="C299" s="4" t="s">
        <v>390</v>
      </c>
      <c r="D299" s="4" t="s">
        <v>47</v>
      </c>
      <c r="E299" s="4" t="s">
        <v>62</v>
      </c>
      <c r="F299" s="3">
        <v>17</v>
      </c>
      <c r="G299" s="2" t="str">
        <f>_xlfn.XLOOKUP(tblOrder[[#This Row],[Produktkod]], tblProd[Produktkod], tblProd[Produktnamn])</f>
        <v>Packningssats PS-3</v>
      </c>
      <c r="H299" s="2">
        <f>_xlfn.XLOOKUP(tblOrder[[#This Row],[Produktkod]], tblProd[Produktkod], tblProd[Styckpris])</f>
        <v>145</v>
      </c>
      <c r="I299" s="2">
        <f>_xlfn.XLOOKUP(tblOrder[[#This Row],[Produktkod]], tblProd[Produktkod], tblProd[Självkostnad/st])</f>
        <v>68</v>
      </c>
      <c r="J299" s="2" t="str">
        <f>_xlfn.XLOOKUP(tblOrder[[#This Row],[Kundkod]], tblKund[Kundkod], tblKund[Kund], "Okänd kund")</f>
        <v>Danfoss A/S</v>
      </c>
      <c r="K299" s="2">
        <f>tblOrder[[#This Row],[Antal]]*tblOrder[[#This Row],[Styckpris]]</f>
        <v>2465</v>
      </c>
      <c r="L299" s="14">
        <f>_xlfn.XLOOKUP(tblOrder[[#This Row],[Antal]], tblRabatt[Min antal], tblRabatt[Rabattsats], , -1)</f>
        <v>0</v>
      </c>
      <c r="M299" s="19">
        <f t="shared" si="4"/>
        <v>1309</v>
      </c>
    </row>
    <row r="300" spans="1:13" x14ac:dyDescent="0.25">
      <c r="A300" s="4" t="s">
        <v>395</v>
      </c>
      <c r="B300" s="8">
        <v>46175</v>
      </c>
      <c r="C300" s="4" t="s">
        <v>390</v>
      </c>
      <c r="D300" s="4" t="s">
        <v>21</v>
      </c>
      <c r="E300" s="4" t="s">
        <v>62</v>
      </c>
      <c r="F300" s="3">
        <v>339</v>
      </c>
      <c r="G300" s="2" t="str">
        <f>_xlfn.XLOOKUP(tblOrder[[#This Row],[Produktkod]], tblProd[Produktkod], tblProd[Produktnamn])</f>
        <v>Hydraulcylinder HC-50</v>
      </c>
      <c r="H300" s="2">
        <f>_xlfn.XLOOKUP(tblOrder[[#This Row],[Produktkod]], tblProd[Produktkod], tblProd[Styckpris])</f>
        <v>4500</v>
      </c>
      <c r="I300" s="2">
        <f>_xlfn.XLOOKUP(tblOrder[[#This Row],[Produktkod]], tblProd[Produktkod], tblProd[Självkostnad/st])</f>
        <v>2800</v>
      </c>
      <c r="J300" s="2" t="str">
        <f>_xlfn.XLOOKUP(tblOrder[[#This Row],[Kundkod]], tblKund[Kundkod], tblKund[Kund], "Okänd kund")</f>
        <v>Danfoss A/S</v>
      </c>
      <c r="K300" s="2">
        <f>tblOrder[[#This Row],[Antal]]*tblOrder[[#This Row],[Styckpris]]</f>
        <v>1525500</v>
      </c>
      <c r="L300" s="14">
        <f>_xlfn.XLOOKUP(tblOrder[[#This Row],[Antal]], tblRabatt[Min antal], tblRabatt[Rabattsats], , -1)</f>
        <v>0.08</v>
      </c>
      <c r="M300" s="19">
        <f t="shared" si="4"/>
        <v>576300</v>
      </c>
    </row>
    <row r="301" spans="1:13" x14ac:dyDescent="0.25">
      <c r="A301" s="4" t="s">
        <v>396</v>
      </c>
      <c r="B301" s="8">
        <v>46176</v>
      </c>
      <c r="C301" s="4" t="s">
        <v>390</v>
      </c>
      <c r="D301" s="4" t="s">
        <v>40</v>
      </c>
      <c r="E301" s="4" t="s">
        <v>79</v>
      </c>
      <c r="F301" s="3">
        <v>67</v>
      </c>
      <c r="G301" s="2" t="str">
        <f>_xlfn.XLOOKUP(tblOrder[[#This Row],[Produktkod]], tblProd[Produktkod], tblProd[Produktnamn])</f>
        <v>Kabelhärva KH-7</v>
      </c>
      <c r="H301" s="2">
        <f>_xlfn.XLOOKUP(tblOrder[[#This Row],[Produktkod]], tblProd[Produktkod], tblProd[Styckpris])</f>
        <v>890</v>
      </c>
      <c r="I301" s="2">
        <f>_xlfn.XLOOKUP(tblOrder[[#This Row],[Produktkod]], tblProd[Produktkod], tblProd[Självkostnad/st])</f>
        <v>510</v>
      </c>
      <c r="J301" s="2" t="str">
        <f>_xlfn.XLOOKUP(tblOrder[[#This Row],[Kundkod]], tblKund[Kundkod], tblKund[Kund], "Okänd kund")</f>
        <v>Industrikomponenter</v>
      </c>
      <c r="K301" s="2">
        <f>tblOrder[[#This Row],[Antal]]*tblOrder[[#This Row],[Styckpris]]</f>
        <v>59630</v>
      </c>
      <c r="L301" s="14">
        <f>_xlfn.XLOOKUP(tblOrder[[#This Row],[Antal]], tblRabatt[Min antal], tblRabatt[Rabattsats], , -1)</f>
        <v>0.03</v>
      </c>
      <c r="M301" s="19">
        <f t="shared" si="4"/>
        <v>25460</v>
      </c>
    </row>
    <row r="302" spans="1:13" x14ac:dyDescent="0.25">
      <c r="A302" s="4" t="s">
        <v>397</v>
      </c>
      <c r="B302" s="8">
        <v>46176</v>
      </c>
      <c r="C302" s="4" t="s">
        <v>390</v>
      </c>
      <c r="D302" s="4" t="s">
        <v>35</v>
      </c>
      <c r="E302" s="4" t="s">
        <v>57</v>
      </c>
      <c r="F302" s="3">
        <v>486</v>
      </c>
      <c r="G302" s="2" t="str">
        <f>_xlfn.XLOOKUP(tblOrder[[#This Row],[Produktkod]], tblProd[Produktkod], tblProd[Produktnamn])</f>
        <v>Styrenhet CU-X1</v>
      </c>
      <c r="H302" s="2">
        <f>_xlfn.XLOOKUP(tblOrder[[#This Row],[Produktkod]], tblProd[Produktkod], tblProd[Styckpris])</f>
        <v>12500</v>
      </c>
      <c r="I302" s="2">
        <f>_xlfn.XLOOKUP(tblOrder[[#This Row],[Produktkod]], tblProd[Produktkod], tblProd[Självkostnad/st])</f>
        <v>8200</v>
      </c>
      <c r="J302" s="2" t="str">
        <f>_xlfn.XLOOKUP(tblOrder[[#This Row],[Kundkod]], tblKund[Kundkod], tblKund[Kund], "Okänd kund")</f>
        <v>Scania CV</v>
      </c>
      <c r="K302" s="2">
        <f>tblOrder[[#This Row],[Antal]]*tblOrder[[#This Row],[Styckpris]]</f>
        <v>6075000</v>
      </c>
      <c r="L302" s="14">
        <f>_xlfn.XLOOKUP(tblOrder[[#This Row],[Antal]], tblRabatt[Min antal], tblRabatt[Rabattsats], , -1)</f>
        <v>0.08</v>
      </c>
      <c r="M302" s="19">
        <f t="shared" si="4"/>
        <v>2089800</v>
      </c>
    </row>
    <row r="303" spans="1:13" x14ac:dyDescent="0.25">
      <c r="A303" s="4" t="s">
        <v>398</v>
      </c>
      <c r="B303" s="8">
        <v>46177</v>
      </c>
      <c r="C303" s="4" t="s">
        <v>390</v>
      </c>
      <c r="D303" s="4" t="s">
        <v>40</v>
      </c>
      <c r="E303" s="4" t="s">
        <v>79</v>
      </c>
      <c r="F303" s="3">
        <v>40</v>
      </c>
      <c r="G303" s="2" t="str">
        <f>_xlfn.XLOOKUP(tblOrder[[#This Row],[Produktkod]], tblProd[Produktkod], tblProd[Produktnamn])</f>
        <v>Kabelhärva KH-7</v>
      </c>
      <c r="H303" s="2">
        <f>_xlfn.XLOOKUP(tblOrder[[#This Row],[Produktkod]], tblProd[Produktkod], tblProd[Styckpris])</f>
        <v>890</v>
      </c>
      <c r="I303" s="2">
        <f>_xlfn.XLOOKUP(tblOrder[[#This Row],[Produktkod]], tblProd[Produktkod], tblProd[Självkostnad/st])</f>
        <v>510</v>
      </c>
      <c r="J303" s="2" t="str">
        <f>_xlfn.XLOOKUP(tblOrder[[#This Row],[Kundkod]], tblKund[Kundkod], tblKund[Kund], "Okänd kund")</f>
        <v>Industrikomponenter</v>
      </c>
      <c r="K303" s="2">
        <f>tblOrder[[#This Row],[Antal]]*tblOrder[[#This Row],[Styckpris]]</f>
        <v>35600</v>
      </c>
      <c r="L303" s="14">
        <f>_xlfn.XLOOKUP(tblOrder[[#This Row],[Antal]], tblRabatt[Min antal], tblRabatt[Rabattsats], , -1)</f>
        <v>0</v>
      </c>
      <c r="M303" s="19">
        <f t="shared" si="4"/>
        <v>15200</v>
      </c>
    </row>
    <row r="304" spans="1:13" x14ac:dyDescent="0.25">
      <c r="A304" s="4" t="s">
        <v>399</v>
      </c>
      <c r="B304" s="8">
        <v>46177</v>
      </c>
      <c r="C304" s="4" t="s">
        <v>390</v>
      </c>
      <c r="D304" s="4" t="s">
        <v>47</v>
      </c>
      <c r="E304" s="4" t="s">
        <v>53</v>
      </c>
      <c r="F304" s="3">
        <v>16</v>
      </c>
      <c r="G304" s="2" t="str">
        <f>_xlfn.XLOOKUP(tblOrder[[#This Row],[Produktkod]], tblProd[Produktkod], tblProd[Produktnamn])</f>
        <v>Packningssats PS-3</v>
      </c>
      <c r="H304" s="2">
        <f>_xlfn.XLOOKUP(tblOrder[[#This Row],[Produktkod]], tblProd[Produktkod], tblProd[Styckpris])</f>
        <v>145</v>
      </c>
      <c r="I304" s="2">
        <f>_xlfn.XLOOKUP(tblOrder[[#This Row],[Produktkod]], tblProd[Produktkod], tblProd[Självkostnad/st])</f>
        <v>68</v>
      </c>
      <c r="J304" s="2" t="str">
        <f>_xlfn.XLOOKUP(tblOrder[[#This Row],[Kundkod]], tblKund[Kundkod], tblKund[Kund], "Okänd kund")</f>
        <v>Volvo Lastvagnar</v>
      </c>
      <c r="K304" s="2">
        <f>tblOrder[[#This Row],[Antal]]*tblOrder[[#This Row],[Styckpris]]</f>
        <v>2320</v>
      </c>
      <c r="L304" s="14">
        <f>_xlfn.XLOOKUP(tblOrder[[#This Row],[Antal]], tblRabatt[Min antal], tblRabatt[Rabattsats], , -1)</f>
        <v>0</v>
      </c>
      <c r="M304" s="19">
        <f t="shared" si="4"/>
        <v>1232</v>
      </c>
    </row>
    <row r="305" spans="1:13" x14ac:dyDescent="0.25">
      <c r="A305" s="4" t="s">
        <v>400</v>
      </c>
      <c r="B305" s="8">
        <v>46178</v>
      </c>
      <c r="C305" s="4" t="s">
        <v>390</v>
      </c>
      <c r="D305" s="4" t="s">
        <v>40</v>
      </c>
      <c r="E305" s="4" t="s">
        <v>76</v>
      </c>
      <c r="F305" s="3">
        <v>34</v>
      </c>
      <c r="G305" s="2" t="str">
        <f>_xlfn.XLOOKUP(tblOrder[[#This Row],[Produktkod]], tblProd[Produktkod], tblProd[Produktnamn])</f>
        <v>Kabelhärva KH-7</v>
      </c>
      <c r="H305" s="2">
        <f>_xlfn.XLOOKUP(tblOrder[[#This Row],[Produktkod]], tblProd[Produktkod], tblProd[Styckpris])</f>
        <v>890</v>
      </c>
      <c r="I305" s="2">
        <f>_xlfn.XLOOKUP(tblOrder[[#This Row],[Produktkod]], tblProd[Produktkod], tblProd[Självkostnad/st])</f>
        <v>510</v>
      </c>
      <c r="J305" s="2" t="str">
        <f>_xlfn.XLOOKUP(tblOrder[[#This Row],[Kundkod]], tblKund[Kundkod], tblKund[Kund], "Okänd kund")</f>
        <v>Maskin &amp; Verktyg</v>
      </c>
      <c r="K305" s="2">
        <f>tblOrder[[#This Row],[Antal]]*tblOrder[[#This Row],[Styckpris]]</f>
        <v>30260</v>
      </c>
      <c r="L305" s="14">
        <f>_xlfn.XLOOKUP(tblOrder[[#This Row],[Antal]], tblRabatt[Min antal], tblRabatt[Rabattsats], , -1)</f>
        <v>0</v>
      </c>
      <c r="M305" s="19">
        <f t="shared" si="4"/>
        <v>12920</v>
      </c>
    </row>
    <row r="306" spans="1:13" x14ac:dyDescent="0.25">
      <c r="A306" s="4" t="s">
        <v>401</v>
      </c>
      <c r="B306" s="8">
        <v>46178</v>
      </c>
      <c r="C306" s="4" t="s">
        <v>390</v>
      </c>
      <c r="D306" s="4" t="s">
        <v>35</v>
      </c>
      <c r="E306" s="4" t="s">
        <v>76</v>
      </c>
      <c r="F306" s="3">
        <v>30</v>
      </c>
      <c r="G306" s="2" t="str">
        <f>_xlfn.XLOOKUP(tblOrder[[#This Row],[Produktkod]], tblProd[Produktkod], tblProd[Produktnamn])</f>
        <v>Styrenhet CU-X1</v>
      </c>
      <c r="H306" s="2">
        <f>_xlfn.XLOOKUP(tblOrder[[#This Row],[Produktkod]], tblProd[Produktkod], tblProd[Styckpris])</f>
        <v>12500</v>
      </c>
      <c r="I306" s="2">
        <f>_xlfn.XLOOKUP(tblOrder[[#This Row],[Produktkod]], tblProd[Produktkod], tblProd[Självkostnad/st])</f>
        <v>8200</v>
      </c>
      <c r="J306" s="2" t="str">
        <f>_xlfn.XLOOKUP(tblOrder[[#This Row],[Kundkod]], tblKund[Kundkod], tblKund[Kund], "Okänd kund")</f>
        <v>Maskin &amp; Verktyg</v>
      </c>
      <c r="K306" s="2">
        <f>tblOrder[[#This Row],[Antal]]*tblOrder[[#This Row],[Styckpris]]</f>
        <v>375000</v>
      </c>
      <c r="L306" s="14">
        <f>_xlfn.XLOOKUP(tblOrder[[#This Row],[Antal]], tblRabatt[Min antal], tblRabatt[Rabattsats], , -1)</f>
        <v>0</v>
      </c>
      <c r="M306" s="19">
        <f t="shared" si="4"/>
        <v>129000</v>
      </c>
    </row>
    <row r="307" spans="1:13" x14ac:dyDescent="0.25">
      <c r="A307" s="4" t="s">
        <v>402</v>
      </c>
      <c r="B307" s="8">
        <v>46178</v>
      </c>
      <c r="C307" s="4" t="s">
        <v>390</v>
      </c>
      <c r="D307" s="4" t="s">
        <v>42</v>
      </c>
      <c r="E307" s="4" t="s">
        <v>71</v>
      </c>
      <c r="F307" s="3">
        <v>608</v>
      </c>
      <c r="G307" s="2" t="str">
        <f>_xlfn.XLOOKUP(tblOrder[[#This Row],[Produktkod]], tblProd[Produktkod], tblProd[Produktnamn])</f>
        <v>Lagersats LS-22</v>
      </c>
      <c r="H307" s="2">
        <f>_xlfn.XLOOKUP(tblOrder[[#This Row],[Produktkod]], tblProd[Produktkod], tblProd[Styckpris])</f>
        <v>650</v>
      </c>
      <c r="I307" s="2">
        <f>_xlfn.XLOOKUP(tblOrder[[#This Row],[Produktkod]], tblProd[Produktkod], tblProd[Självkostnad/st])</f>
        <v>380</v>
      </c>
      <c r="J307" s="2" t="str">
        <f>_xlfn.XLOOKUP(tblOrder[[#This Row],[Kundkod]], tblKund[Kundkod], tblKund[Kund], "Okänd kund")</f>
        <v>Hydraul-Service AB</v>
      </c>
      <c r="K307" s="2">
        <f>tblOrder[[#This Row],[Antal]]*tblOrder[[#This Row],[Styckpris]]</f>
        <v>395200</v>
      </c>
      <c r="L307" s="14">
        <f>_xlfn.XLOOKUP(tblOrder[[#This Row],[Antal]], tblRabatt[Min antal], tblRabatt[Rabattsats], , -1)</f>
        <v>0.12</v>
      </c>
      <c r="M307" s="19">
        <f t="shared" si="4"/>
        <v>164160</v>
      </c>
    </row>
    <row r="308" spans="1:13" x14ac:dyDescent="0.25">
      <c r="A308" s="4" t="s">
        <v>403</v>
      </c>
      <c r="B308" s="8">
        <v>46179</v>
      </c>
      <c r="C308" s="4" t="s">
        <v>390</v>
      </c>
      <c r="D308" s="4" t="s">
        <v>33</v>
      </c>
      <c r="E308" s="4" t="s">
        <v>59</v>
      </c>
      <c r="F308" s="3">
        <v>5</v>
      </c>
      <c r="G308" s="2" t="str">
        <f>_xlfn.XLOOKUP(tblOrder[[#This Row],[Produktkod]], tblProd[Produktkod], tblProd[Produktnamn])</f>
        <v>Skruvkit SK-100</v>
      </c>
      <c r="H308" s="2">
        <f>_xlfn.XLOOKUP(tblOrder[[#This Row],[Produktkod]], tblProd[Produktkod], tblProd[Styckpris])</f>
        <v>320</v>
      </c>
      <c r="I308" s="2">
        <f>_xlfn.XLOOKUP(tblOrder[[#This Row],[Produktkod]], tblProd[Produktkod], tblProd[Självkostnad/st])</f>
        <v>165</v>
      </c>
      <c r="J308" s="2" t="str">
        <f>_xlfn.XLOOKUP(tblOrder[[#This Row],[Kundkod]], tblKund[Kundkod], tblKund[Kund], "Okänd kund")</f>
        <v>Kongsberg Automotive</v>
      </c>
      <c r="K308" s="2">
        <f>tblOrder[[#This Row],[Antal]]*tblOrder[[#This Row],[Styckpris]]</f>
        <v>1600</v>
      </c>
      <c r="L308" s="14">
        <f>_xlfn.XLOOKUP(tblOrder[[#This Row],[Antal]], tblRabatt[Min antal], tblRabatt[Rabattsats], , -1)</f>
        <v>0</v>
      </c>
      <c r="M308" s="19">
        <f t="shared" si="4"/>
        <v>775</v>
      </c>
    </row>
    <row r="309" spans="1:13" x14ac:dyDescent="0.25">
      <c r="A309" s="4" t="s">
        <v>404</v>
      </c>
      <c r="B309" s="8">
        <v>46179</v>
      </c>
      <c r="C309" s="4" t="s">
        <v>390</v>
      </c>
      <c r="D309" s="4" t="s">
        <v>40</v>
      </c>
      <c r="E309" s="4" t="s">
        <v>223</v>
      </c>
      <c r="F309" s="3">
        <v>43</v>
      </c>
      <c r="G309" s="2" t="str">
        <f>_xlfn.XLOOKUP(tblOrder[[#This Row],[Produktkod]], tblProd[Produktkod], tblProd[Produktnamn])</f>
        <v>Kabelhärva KH-7</v>
      </c>
      <c r="H309" s="2">
        <f>_xlfn.XLOOKUP(tblOrder[[#This Row],[Produktkod]], tblProd[Produktkod], tblProd[Styckpris])</f>
        <v>890</v>
      </c>
      <c r="I309" s="2">
        <f>_xlfn.XLOOKUP(tblOrder[[#This Row],[Produktkod]], tblProd[Produktkod], tblProd[Självkostnad/st])</f>
        <v>510</v>
      </c>
      <c r="J309" s="2" t="str">
        <f>_xlfn.XLOOKUP(tblOrder[[#This Row],[Kundkod]], tblKund[Kundkod], tblKund[Kund], "Okänd kund")</f>
        <v>Okänd kund</v>
      </c>
      <c r="K309" s="2">
        <f>tblOrder[[#This Row],[Antal]]*tblOrder[[#This Row],[Styckpris]]</f>
        <v>38270</v>
      </c>
      <c r="L309" s="14">
        <f>_xlfn.XLOOKUP(tblOrder[[#This Row],[Antal]], tblRabatt[Min antal], tblRabatt[Rabattsats], , -1)</f>
        <v>0</v>
      </c>
      <c r="M309" s="19">
        <f t="shared" si="4"/>
        <v>16340</v>
      </c>
    </row>
    <row r="310" spans="1:13" x14ac:dyDescent="0.25">
      <c r="A310" s="4" t="s">
        <v>405</v>
      </c>
      <c r="B310" s="8">
        <v>46179</v>
      </c>
      <c r="C310" s="4" t="s">
        <v>390</v>
      </c>
      <c r="D310" s="4" t="s">
        <v>26</v>
      </c>
      <c r="E310" s="4" t="s">
        <v>57</v>
      </c>
      <c r="F310" s="3">
        <v>38</v>
      </c>
      <c r="G310" s="2" t="str">
        <f>_xlfn.XLOOKUP(tblOrder[[#This Row],[Produktkod]], tblProd[Produktkod], tblProd[Produktnamn])</f>
        <v>Ventilblock VB-30</v>
      </c>
      <c r="H310" s="2">
        <f>_xlfn.XLOOKUP(tblOrder[[#This Row],[Produktkod]], tblProd[Produktkod], tblProd[Styckpris])</f>
        <v>3200</v>
      </c>
      <c r="I310" s="2">
        <f>_xlfn.XLOOKUP(tblOrder[[#This Row],[Produktkod]], tblProd[Produktkod], tblProd[Självkostnad/st])</f>
        <v>1950</v>
      </c>
      <c r="J310" s="2" t="str">
        <f>_xlfn.XLOOKUP(tblOrder[[#This Row],[Kundkod]], tblKund[Kundkod], tblKund[Kund], "Okänd kund")</f>
        <v>Scania CV</v>
      </c>
      <c r="K310" s="2">
        <f>tblOrder[[#This Row],[Antal]]*tblOrder[[#This Row],[Styckpris]]</f>
        <v>121600</v>
      </c>
      <c r="L310" s="14">
        <f>_xlfn.XLOOKUP(tblOrder[[#This Row],[Antal]], tblRabatt[Min antal], tblRabatt[Rabattsats], , -1)</f>
        <v>0</v>
      </c>
      <c r="M310" s="19">
        <f t="shared" si="4"/>
        <v>47500</v>
      </c>
    </row>
    <row r="311" spans="1:13" x14ac:dyDescent="0.25">
      <c r="A311" s="4" t="s">
        <v>406</v>
      </c>
      <c r="B311" s="8">
        <v>46179</v>
      </c>
      <c r="C311" s="4" t="s">
        <v>390</v>
      </c>
      <c r="D311" s="4" t="s">
        <v>35</v>
      </c>
      <c r="E311" s="4" t="s">
        <v>59</v>
      </c>
      <c r="F311" s="3">
        <v>41</v>
      </c>
      <c r="G311" s="2" t="str">
        <f>_xlfn.XLOOKUP(tblOrder[[#This Row],[Produktkod]], tblProd[Produktkod], tblProd[Produktnamn])</f>
        <v>Styrenhet CU-X1</v>
      </c>
      <c r="H311" s="2">
        <f>_xlfn.XLOOKUP(tblOrder[[#This Row],[Produktkod]], tblProd[Produktkod], tblProd[Styckpris])</f>
        <v>12500</v>
      </c>
      <c r="I311" s="2">
        <f>_xlfn.XLOOKUP(tblOrder[[#This Row],[Produktkod]], tblProd[Produktkod], tblProd[Självkostnad/st])</f>
        <v>8200</v>
      </c>
      <c r="J311" s="2" t="str">
        <f>_xlfn.XLOOKUP(tblOrder[[#This Row],[Kundkod]], tblKund[Kundkod], tblKund[Kund], "Okänd kund")</f>
        <v>Kongsberg Automotive</v>
      </c>
      <c r="K311" s="2">
        <f>tblOrder[[#This Row],[Antal]]*tblOrder[[#This Row],[Styckpris]]</f>
        <v>512500</v>
      </c>
      <c r="L311" s="14">
        <f>_xlfn.XLOOKUP(tblOrder[[#This Row],[Antal]], tblRabatt[Min antal], tblRabatt[Rabattsats], , -1)</f>
        <v>0</v>
      </c>
      <c r="M311" s="19">
        <f t="shared" si="4"/>
        <v>176300</v>
      </c>
    </row>
    <row r="312" spans="1:13" x14ac:dyDescent="0.25">
      <c r="A312" s="4" t="s">
        <v>407</v>
      </c>
      <c r="B312" s="8">
        <v>46181</v>
      </c>
      <c r="C312" s="4" t="s">
        <v>390</v>
      </c>
      <c r="D312" s="4" t="s">
        <v>45</v>
      </c>
      <c r="E312" s="4" t="s">
        <v>79</v>
      </c>
      <c r="F312" s="3">
        <v>157</v>
      </c>
      <c r="G312" s="2" t="str">
        <f>_xlfn.XLOOKUP(tblOrder[[#This Row],[Produktkod]], tblProd[Produktkod], tblProd[Produktnamn])</f>
        <v>Tätningskit TK-9</v>
      </c>
      <c r="H312" s="2">
        <f>_xlfn.XLOOKUP(tblOrder[[#This Row],[Produktkod]], tblProd[Produktkod], tblProd[Styckpris])</f>
        <v>210</v>
      </c>
      <c r="I312" s="2">
        <f>_xlfn.XLOOKUP(tblOrder[[#This Row],[Produktkod]], tblProd[Produktkod], tblProd[Självkostnad/st])</f>
        <v>95</v>
      </c>
      <c r="J312" s="2" t="str">
        <f>_xlfn.XLOOKUP(tblOrder[[#This Row],[Kundkod]], tblKund[Kundkod], tblKund[Kund], "Okänd kund")</f>
        <v>Industrikomponenter</v>
      </c>
      <c r="K312" s="2">
        <f>tblOrder[[#This Row],[Antal]]*tblOrder[[#This Row],[Styckpris]]</f>
        <v>32970</v>
      </c>
      <c r="L312" s="14">
        <f>_xlfn.XLOOKUP(tblOrder[[#This Row],[Antal]], tblRabatt[Min antal], tblRabatt[Rabattsats], , -1)</f>
        <v>0.05</v>
      </c>
      <c r="M312" s="19">
        <f t="shared" si="4"/>
        <v>18055</v>
      </c>
    </row>
    <row r="313" spans="1:13" x14ac:dyDescent="0.25">
      <c r="A313" s="4" t="s">
        <v>408</v>
      </c>
      <c r="B313" s="8">
        <v>46182</v>
      </c>
      <c r="C313" s="4" t="s">
        <v>390</v>
      </c>
      <c r="D313" s="4" t="s">
        <v>31</v>
      </c>
      <c r="E313" s="4" t="s">
        <v>53</v>
      </c>
      <c r="F313" s="3">
        <v>232</v>
      </c>
      <c r="G313" s="2" t="str">
        <f>_xlfn.XLOOKUP(tblOrder[[#This Row],[Produktkod]], tblProd[Produktkod], tblProd[Produktnamn])</f>
        <v>Fästplatta FP-A4</v>
      </c>
      <c r="H313" s="2">
        <f>_xlfn.XLOOKUP(tblOrder[[#This Row],[Produktkod]], tblProd[Produktkod], tblProd[Styckpris])</f>
        <v>480</v>
      </c>
      <c r="I313" s="2">
        <f>_xlfn.XLOOKUP(tblOrder[[#This Row],[Produktkod]], tblProd[Produktkod], tblProd[Självkostnad/st])</f>
        <v>260</v>
      </c>
      <c r="J313" s="2" t="str">
        <f>_xlfn.XLOOKUP(tblOrder[[#This Row],[Kundkod]], tblKund[Kundkod], tblKund[Kund], "Okänd kund")</f>
        <v>Volvo Lastvagnar</v>
      </c>
      <c r="K313" s="2">
        <f>tblOrder[[#This Row],[Antal]]*tblOrder[[#This Row],[Styckpris]]</f>
        <v>111360</v>
      </c>
      <c r="L313" s="14">
        <f>_xlfn.XLOOKUP(tblOrder[[#This Row],[Antal]], tblRabatt[Min antal], tblRabatt[Rabattsats], , -1)</f>
        <v>0.05</v>
      </c>
      <c r="M313" s="19">
        <f t="shared" si="4"/>
        <v>51040</v>
      </c>
    </row>
    <row r="314" spans="1:13" x14ac:dyDescent="0.25">
      <c r="A314" s="4" t="s">
        <v>409</v>
      </c>
      <c r="B314" s="8">
        <v>46183</v>
      </c>
      <c r="C314" s="4" t="s">
        <v>390</v>
      </c>
      <c r="D314" s="4" t="s">
        <v>21</v>
      </c>
      <c r="E314" s="4" t="s">
        <v>132</v>
      </c>
      <c r="F314" s="3">
        <v>20</v>
      </c>
      <c r="G314" s="2" t="str">
        <f>_xlfn.XLOOKUP(tblOrder[[#This Row],[Produktkod]], tblProd[Produktkod], tblProd[Produktnamn])</f>
        <v>Hydraulcylinder HC-50</v>
      </c>
      <c r="H314" s="2">
        <f>_xlfn.XLOOKUP(tblOrder[[#This Row],[Produktkod]], tblProd[Produktkod], tblProd[Styckpris])</f>
        <v>4500</v>
      </c>
      <c r="I314" s="2">
        <f>_xlfn.XLOOKUP(tblOrder[[#This Row],[Produktkod]], tblProd[Produktkod], tblProd[Självkostnad/st])</f>
        <v>2800</v>
      </c>
      <c r="J314" s="2" t="str">
        <f>_xlfn.XLOOKUP(tblOrder[[#This Row],[Kundkod]], tblKund[Kundkod], tblKund[Kund], "Okänd kund")</f>
        <v>Okänd kund</v>
      </c>
      <c r="K314" s="2">
        <f>tblOrder[[#This Row],[Antal]]*tblOrder[[#This Row],[Styckpris]]</f>
        <v>90000</v>
      </c>
      <c r="L314" s="14">
        <f>_xlfn.XLOOKUP(tblOrder[[#This Row],[Antal]], tblRabatt[Min antal], tblRabatt[Rabattsats], , -1)</f>
        <v>0</v>
      </c>
      <c r="M314" s="19">
        <f t="shared" si="4"/>
        <v>34000</v>
      </c>
    </row>
    <row r="315" spans="1:13" x14ac:dyDescent="0.25">
      <c r="A315" s="4" t="s">
        <v>410</v>
      </c>
      <c r="B315" s="8">
        <v>46183</v>
      </c>
      <c r="C315" s="4" t="s">
        <v>390</v>
      </c>
      <c r="D315" s="4" t="s">
        <v>26</v>
      </c>
      <c r="E315" s="4" t="s">
        <v>65</v>
      </c>
      <c r="F315" s="3">
        <v>29</v>
      </c>
      <c r="G315" s="2" t="str">
        <f>_xlfn.XLOOKUP(tblOrder[[#This Row],[Produktkod]], tblProd[Produktkod], tblProd[Produktnamn])</f>
        <v>Ventilblock VB-30</v>
      </c>
      <c r="H315" s="2">
        <f>_xlfn.XLOOKUP(tblOrder[[#This Row],[Produktkod]], tblProd[Produktkod], tblProd[Styckpris])</f>
        <v>3200</v>
      </c>
      <c r="I315" s="2">
        <f>_xlfn.XLOOKUP(tblOrder[[#This Row],[Produktkod]], tblProd[Produktkod], tblProd[Självkostnad/st])</f>
        <v>1950</v>
      </c>
      <c r="J315" s="2" t="str">
        <f>_xlfn.XLOOKUP(tblOrder[[#This Row],[Kundkod]], tblKund[Kundkod], tblKund[Kund], "Okänd kund")</f>
        <v>Wärtsilä</v>
      </c>
      <c r="K315" s="2">
        <f>tblOrder[[#This Row],[Antal]]*tblOrder[[#This Row],[Styckpris]]</f>
        <v>92800</v>
      </c>
      <c r="L315" s="14">
        <f>_xlfn.XLOOKUP(tblOrder[[#This Row],[Antal]], tblRabatt[Min antal], tblRabatt[Rabattsats], , -1)</f>
        <v>0</v>
      </c>
      <c r="M315" s="19">
        <f t="shared" si="4"/>
        <v>36250</v>
      </c>
    </row>
    <row r="316" spans="1:13" x14ac:dyDescent="0.25">
      <c r="A316" s="4" t="s">
        <v>411</v>
      </c>
      <c r="B316" s="8">
        <v>46183</v>
      </c>
      <c r="C316" s="4" t="s">
        <v>390</v>
      </c>
      <c r="D316" s="4" t="s">
        <v>40</v>
      </c>
      <c r="E316" s="4" t="s">
        <v>71</v>
      </c>
      <c r="F316" s="3">
        <v>103</v>
      </c>
      <c r="G316" s="2" t="str">
        <f>_xlfn.XLOOKUP(tblOrder[[#This Row],[Produktkod]], tblProd[Produktkod], tblProd[Produktnamn])</f>
        <v>Kabelhärva KH-7</v>
      </c>
      <c r="H316" s="2">
        <f>_xlfn.XLOOKUP(tblOrder[[#This Row],[Produktkod]], tblProd[Produktkod], tblProd[Styckpris])</f>
        <v>890</v>
      </c>
      <c r="I316" s="2">
        <f>_xlfn.XLOOKUP(tblOrder[[#This Row],[Produktkod]], tblProd[Produktkod], tblProd[Självkostnad/st])</f>
        <v>510</v>
      </c>
      <c r="J316" s="2" t="str">
        <f>_xlfn.XLOOKUP(tblOrder[[#This Row],[Kundkod]], tblKund[Kundkod], tblKund[Kund], "Okänd kund")</f>
        <v>Hydraul-Service AB</v>
      </c>
      <c r="K316" s="2">
        <f>tblOrder[[#This Row],[Antal]]*tblOrder[[#This Row],[Styckpris]]</f>
        <v>91670</v>
      </c>
      <c r="L316" s="14">
        <f>_xlfn.XLOOKUP(tblOrder[[#This Row],[Antal]], tblRabatt[Min antal], tblRabatt[Rabattsats], , -1)</f>
        <v>0.05</v>
      </c>
      <c r="M316" s="19">
        <f t="shared" si="4"/>
        <v>39140</v>
      </c>
    </row>
    <row r="317" spans="1:13" x14ac:dyDescent="0.25">
      <c r="A317" s="4" t="s">
        <v>412</v>
      </c>
      <c r="B317" s="8">
        <v>46183</v>
      </c>
      <c r="C317" s="4" t="s">
        <v>390</v>
      </c>
      <c r="D317" s="4" t="s">
        <v>35</v>
      </c>
      <c r="E317" s="4" t="s">
        <v>71</v>
      </c>
      <c r="F317" s="3">
        <v>410</v>
      </c>
      <c r="G317" s="2" t="str">
        <f>_xlfn.XLOOKUP(tblOrder[[#This Row],[Produktkod]], tblProd[Produktkod], tblProd[Produktnamn])</f>
        <v>Styrenhet CU-X1</v>
      </c>
      <c r="H317" s="2">
        <f>_xlfn.XLOOKUP(tblOrder[[#This Row],[Produktkod]], tblProd[Produktkod], tblProd[Styckpris])</f>
        <v>12500</v>
      </c>
      <c r="I317" s="2">
        <f>_xlfn.XLOOKUP(tblOrder[[#This Row],[Produktkod]], tblProd[Produktkod], tblProd[Självkostnad/st])</f>
        <v>8200</v>
      </c>
      <c r="J317" s="2" t="str">
        <f>_xlfn.XLOOKUP(tblOrder[[#This Row],[Kundkod]], tblKund[Kundkod], tblKund[Kund], "Okänd kund")</f>
        <v>Hydraul-Service AB</v>
      </c>
      <c r="K317" s="2">
        <f>tblOrder[[#This Row],[Antal]]*tblOrder[[#This Row],[Styckpris]]</f>
        <v>5125000</v>
      </c>
      <c r="L317" s="14">
        <f>_xlfn.XLOOKUP(tblOrder[[#This Row],[Antal]], tblRabatt[Min antal], tblRabatt[Rabattsats], , -1)</f>
        <v>0.08</v>
      </c>
      <c r="M317" s="19">
        <f t="shared" si="4"/>
        <v>1763000</v>
      </c>
    </row>
    <row r="318" spans="1:13" x14ac:dyDescent="0.25">
      <c r="A318" s="4" t="s">
        <v>413</v>
      </c>
      <c r="B318" s="8">
        <v>46184</v>
      </c>
      <c r="C318" s="4" t="s">
        <v>390</v>
      </c>
      <c r="D318" s="4" t="s">
        <v>35</v>
      </c>
      <c r="E318" s="4" t="s">
        <v>65</v>
      </c>
      <c r="F318" s="3">
        <v>436</v>
      </c>
      <c r="G318" s="2" t="str">
        <f>_xlfn.XLOOKUP(tblOrder[[#This Row],[Produktkod]], tblProd[Produktkod], tblProd[Produktnamn])</f>
        <v>Styrenhet CU-X1</v>
      </c>
      <c r="H318" s="2">
        <f>_xlfn.XLOOKUP(tblOrder[[#This Row],[Produktkod]], tblProd[Produktkod], tblProd[Styckpris])</f>
        <v>12500</v>
      </c>
      <c r="I318" s="2">
        <f>_xlfn.XLOOKUP(tblOrder[[#This Row],[Produktkod]], tblProd[Produktkod], tblProd[Självkostnad/st])</f>
        <v>8200</v>
      </c>
      <c r="J318" s="2" t="str">
        <f>_xlfn.XLOOKUP(tblOrder[[#This Row],[Kundkod]], tblKund[Kundkod], tblKund[Kund], "Okänd kund")</f>
        <v>Wärtsilä</v>
      </c>
      <c r="K318" s="2">
        <f>tblOrder[[#This Row],[Antal]]*tblOrder[[#This Row],[Styckpris]]</f>
        <v>5450000</v>
      </c>
      <c r="L318" s="14">
        <f>_xlfn.XLOOKUP(tblOrder[[#This Row],[Antal]], tblRabatt[Min antal], tblRabatt[Rabattsats], , -1)</f>
        <v>0.08</v>
      </c>
      <c r="M318" s="19">
        <f t="shared" si="4"/>
        <v>1874800</v>
      </c>
    </row>
    <row r="319" spans="1:13" x14ac:dyDescent="0.25">
      <c r="A319" s="4" t="s">
        <v>414</v>
      </c>
      <c r="B319" s="8">
        <v>46184</v>
      </c>
      <c r="C319" s="4" t="s">
        <v>390</v>
      </c>
      <c r="D319" s="4" t="s">
        <v>45</v>
      </c>
      <c r="E319" s="4" t="s">
        <v>53</v>
      </c>
      <c r="F319" s="3">
        <v>67</v>
      </c>
      <c r="G319" s="2" t="str">
        <f>_xlfn.XLOOKUP(tblOrder[[#This Row],[Produktkod]], tblProd[Produktkod], tblProd[Produktnamn])</f>
        <v>Tätningskit TK-9</v>
      </c>
      <c r="H319" s="2">
        <f>_xlfn.XLOOKUP(tblOrder[[#This Row],[Produktkod]], tblProd[Produktkod], tblProd[Styckpris])</f>
        <v>210</v>
      </c>
      <c r="I319" s="2">
        <f>_xlfn.XLOOKUP(tblOrder[[#This Row],[Produktkod]], tblProd[Produktkod], tblProd[Självkostnad/st])</f>
        <v>95</v>
      </c>
      <c r="J319" s="2" t="str">
        <f>_xlfn.XLOOKUP(tblOrder[[#This Row],[Kundkod]], tblKund[Kundkod], tblKund[Kund], "Okänd kund")</f>
        <v>Volvo Lastvagnar</v>
      </c>
      <c r="K319" s="2">
        <f>tblOrder[[#This Row],[Antal]]*tblOrder[[#This Row],[Styckpris]]</f>
        <v>14070</v>
      </c>
      <c r="L319" s="14">
        <f>_xlfn.XLOOKUP(tblOrder[[#This Row],[Antal]], tblRabatt[Min antal], tblRabatt[Rabattsats], , -1)</f>
        <v>0.03</v>
      </c>
      <c r="M319" s="19">
        <f t="shared" si="4"/>
        <v>7705</v>
      </c>
    </row>
    <row r="320" spans="1:13" x14ac:dyDescent="0.25">
      <c r="A320" s="4" t="s">
        <v>415</v>
      </c>
      <c r="B320" s="8">
        <v>46184</v>
      </c>
      <c r="C320" s="4" t="s">
        <v>390</v>
      </c>
      <c r="D320" s="4" t="s">
        <v>35</v>
      </c>
      <c r="E320" s="4" t="s">
        <v>59</v>
      </c>
      <c r="F320" s="3">
        <v>79</v>
      </c>
      <c r="G320" s="2" t="str">
        <f>_xlfn.XLOOKUP(tblOrder[[#This Row],[Produktkod]], tblProd[Produktkod], tblProd[Produktnamn])</f>
        <v>Styrenhet CU-X1</v>
      </c>
      <c r="H320" s="2">
        <f>_xlfn.XLOOKUP(tblOrder[[#This Row],[Produktkod]], tblProd[Produktkod], tblProd[Styckpris])</f>
        <v>12500</v>
      </c>
      <c r="I320" s="2">
        <f>_xlfn.XLOOKUP(tblOrder[[#This Row],[Produktkod]], tblProd[Produktkod], tblProd[Självkostnad/st])</f>
        <v>8200</v>
      </c>
      <c r="J320" s="2" t="str">
        <f>_xlfn.XLOOKUP(tblOrder[[#This Row],[Kundkod]], tblKund[Kundkod], tblKund[Kund], "Okänd kund")</f>
        <v>Kongsberg Automotive</v>
      </c>
      <c r="K320" s="2">
        <f>tblOrder[[#This Row],[Antal]]*tblOrder[[#This Row],[Styckpris]]</f>
        <v>987500</v>
      </c>
      <c r="L320" s="14">
        <f>_xlfn.XLOOKUP(tblOrder[[#This Row],[Antal]], tblRabatt[Min antal], tblRabatt[Rabattsats], , -1)</f>
        <v>0.03</v>
      </c>
      <c r="M320" s="19">
        <f t="shared" si="4"/>
        <v>339700</v>
      </c>
    </row>
    <row r="321" spans="1:13" x14ac:dyDescent="0.25">
      <c r="A321" s="4" t="s">
        <v>416</v>
      </c>
      <c r="B321" s="8">
        <v>46185</v>
      </c>
      <c r="C321" s="4" t="s">
        <v>390</v>
      </c>
      <c r="D321" s="4" t="s">
        <v>28</v>
      </c>
      <c r="E321" s="4" t="s">
        <v>68</v>
      </c>
      <c r="F321" s="3">
        <v>162</v>
      </c>
      <c r="G321" s="2" t="str">
        <f>_xlfn.XLOOKUP(tblOrder[[#This Row],[Produktkod]], tblProd[Produktkod], tblProd[Produktnamn])</f>
        <v>Montagesats MS-10</v>
      </c>
      <c r="H321" s="2">
        <f>_xlfn.XLOOKUP(tblOrder[[#This Row],[Produktkod]], tblProd[Produktkod], tblProd[Styckpris])</f>
        <v>1250</v>
      </c>
      <c r="I321" s="2">
        <f>_xlfn.XLOOKUP(tblOrder[[#This Row],[Produktkod]], tblProd[Produktkod], tblProd[Självkostnad/st])</f>
        <v>720</v>
      </c>
      <c r="J321" s="2" t="str">
        <f>_xlfn.XLOOKUP(tblOrder[[#This Row],[Kundkod]], tblKund[Kundkod], tblKund[Kund], "Okänd kund")</f>
        <v>Bosch Rexroth</v>
      </c>
      <c r="K321" s="2">
        <f>tblOrder[[#This Row],[Antal]]*tblOrder[[#This Row],[Styckpris]]</f>
        <v>202500</v>
      </c>
      <c r="L321" s="14">
        <f>_xlfn.XLOOKUP(tblOrder[[#This Row],[Antal]], tblRabatt[Min antal], tblRabatt[Rabattsats], , -1)</f>
        <v>0.05</v>
      </c>
      <c r="M321" s="19">
        <f t="shared" si="4"/>
        <v>85860</v>
      </c>
    </row>
    <row r="322" spans="1:13" x14ac:dyDescent="0.25">
      <c r="A322" s="4" t="s">
        <v>417</v>
      </c>
      <c r="B322" s="8">
        <v>46185</v>
      </c>
      <c r="C322" s="4" t="s">
        <v>390</v>
      </c>
      <c r="D322" s="4" t="s">
        <v>38</v>
      </c>
      <c r="E322" s="4" t="s">
        <v>65</v>
      </c>
      <c r="F322" s="3">
        <v>80</v>
      </c>
      <c r="G322" s="2" t="str">
        <f>_xlfn.XLOOKUP(tblOrder[[#This Row],[Produktkod]], tblProd[Produktkod], tblProd[Produktnamn])</f>
        <v>Sensor S-45</v>
      </c>
      <c r="H322" s="2">
        <f>_xlfn.XLOOKUP(tblOrder[[#This Row],[Produktkod]], tblProd[Produktkod], tblProd[Styckpris])</f>
        <v>2100</v>
      </c>
      <c r="I322" s="2">
        <f>_xlfn.XLOOKUP(tblOrder[[#This Row],[Produktkod]], tblProd[Produktkod], tblProd[Självkostnad/st])</f>
        <v>1180</v>
      </c>
      <c r="J322" s="2" t="str">
        <f>_xlfn.XLOOKUP(tblOrder[[#This Row],[Kundkod]], tblKund[Kundkod], tblKund[Kund], "Okänd kund")</f>
        <v>Wärtsilä</v>
      </c>
      <c r="K322" s="2">
        <f>tblOrder[[#This Row],[Antal]]*tblOrder[[#This Row],[Styckpris]]</f>
        <v>168000</v>
      </c>
      <c r="L322" s="14">
        <f>_xlfn.XLOOKUP(tblOrder[[#This Row],[Antal]], tblRabatt[Min antal], tblRabatt[Rabattsats], , -1)</f>
        <v>0.03</v>
      </c>
      <c r="M322" s="19">
        <f t="shared" ref="M322:M351" si="5">K322-F322*I322</f>
        <v>73600</v>
      </c>
    </row>
    <row r="323" spans="1:13" x14ac:dyDescent="0.25">
      <c r="A323" s="4" t="s">
        <v>418</v>
      </c>
      <c r="B323" s="8">
        <v>46186</v>
      </c>
      <c r="C323" s="4" t="s">
        <v>390</v>
      </c>
      <c r="D323" s="4" t="s">
        <v>35</v>
      </c>
      <c r="E323" s="4" t="s">
        <v>57</v>
      </c>
      <c r="F323" s="3">
        <v>95</v>
      </c>
      <c r="G323" s="2" t="str">
        <f>_xlfn.XLOOKUP(tblOrder[[#This Row],[Produktkod]], tblProd[Produktkod], tblProd[Produktnamn])</f>
        <v>Styrenhet CU-X1</v>
      </c>
      <c r="H323" s="2">
        <f>_xlfn.XLOOKUP(tblOrder[[#This Row],[Produktkod]], tblProd[Produktkod], tblProd[Styckpris])</f>
        <v>12500</v>
      </c>
      <c r="I323" s="2">
        <f>_xlfn.XLOOKUP(tblOrder[[#This Row],[Produktkod]], tblProd[Produktkod], tblProd[Självkostnad/st])</f>
        <v>8200</v>
      </c>
      <c r="J323" s="2" t="str">
        <f>_xlfn.XLOOKUP(tblOrder[[#This Row],[Kundkod]], tblKund[Kundkod], tblKund[Kund], "Okänd kund")</f>
        <v>Scania CV</v>
      </c>
      <c r="K323" s="2">
        <f>tblOrder[[#This Row],[Antal]]*tblOrder[[#This Row],[Styckpris]]</f>
        <v>1187500</v>
      </c>
      <c r="L323" s="14">
        <f>_xlfn.XLOOKUP(tblOrder[[#This Row],[Antal]], tblRabatt[Min antal], tblRabatt[Rabattsats], , -1)</f>
        <v>0.03</v>
      </c>
      <c r="M323" s="19">
        <f t="shared" si="5"/>
        <v>408500</v>
      </c>
    </row>
    <row r="324" spans="1:13" x14ac:dyDescent="0.25">
      <c r="A324" s="4" t="s">
        <v>419</v>
      </c>
      <c r="B324" s="8">
        <v>46186</v>
      </c>
      <c r="C324" s="4" t="s">
        <v>390</v>
      </c>
      <c r="D324" s="4" t="s">
        <v>21</v>
      </c>
      <c r="E324" s="4" t="s">
        <v>62</v>
      </c>
      <c r="F324" s="3">
        <v>609</v>
      </c>
      <c r="G324" s="2" t="str">
        <f>_xlfn.XLOOKUP(tblOrder[[#This Row],[Produktkod]], tblProd[Produktkod], tblProd[Produktnamn])</f>
        <v>Hydraulcylinder HC-50</v>
      </c>
      <c r="H324" s="2">
        <f>_xlfn.XLOOKUP(tblOrder[[#This Row],[Produktkod]], tblProd[Produktkod], tblProd[Styckpris])</f>
        <v>4500</v>
      </c>
      <c r="I324" s="2">
        <f>_xlfn.XLOOKUP(tblOrder[[#This Row],[Produktkod]], tblProd[Produktkod], tblProd[Självkostnad/st])</f>
        <v>2800</v>
      </c>
      <c r="J324" s="2" t="str">
        <f>_xlfn.XLOOKUP(tblOrder[[#This Row],[Kundkod]], tblKund[Kundkod], tblKund[Kund], "Okänd kund")</f>
        <v>Danfoss A/S</v>
      </c>
      <c r="K324" s="2">
        <f>tblOrder[[#This Row],[Antal]]*tblOrder[[#This Row],[Styckpris]]</f>
        <v>2740500</v>
      </c>
      <c r="L324" s="14">
        <f>_xlfn.XLOOKUP(tblOrder[[#This Row],[Antal]], tblRabatt[Min antal], tblRabatt[Rabattsats], , -1)</f>
        <v>0.12</v>
      </c>
      <c r="M324" s="19">
        <f t="shared" si="5"/>
        <v>1035300</v>
      </c>
    </row>
    <row r="325" spans="1:13" x14ac:dyDescent="0.25">
      <c r="A325" s="4" t="s">
        <v>420</v>
      </c>
      <c r="B325" s="8">
        <v>46187</v>
      </c>
      <c r="C325" s="4" t="s">
        <v>390</v>
      </c>
      <c r="D325" s="4" t="s">
        <v>40</v>
      </c>
      <c r="E325" s="4" t="s">
        <v>65</v>
      </c>
      <c r="F325" s="3">
        <v>140</v>
      </c>
      <c r="G325" s="2" t="str">
        <f>_xlfn.XLOOKUP(tblOrder[[#This Row],[Produktkod]], tblProd[Produktkod], tblProd[Produktnamn])</f>
        <v>Kabelhärva KH-7</v>
      </c>
      <c r="H325" s="2">
        <f>_xlfn.XLOOKUP(tblOrder[[#This Row],[Produktkod]], tblProd[Produktkod], tblProd[Styckpris])</f>
        <v>890</v>
      </c>
      <c r="I325" s="2">
        <f>_xlfn.XLOOKUP(tblOrder[[#This Row],[Produktkod]], tblProd[Produktkod], tblProd[Självkostnad/st])</f>
        <v>510</v>
      </c>
      <c r="J325" s="2" t="str">
        <f>_xlfn.XLOOKUP(tblOrder[[#This Row],[Kundkod]], tblKund[Kundkod], tblKund[Kund], "Okänd kund")</f>
        <v>Wärtsilä</v>
      </c>
      <c r="K325" s="2">
        <f>tblOrder[[#This Row],[Antal]]*tblOrder[[#This Row],[Styckpris]]</f>
        <v>124600</v>
      </c>
      <c r="L325" s="14">
        <f>_xlfn.XLOOKUP(tblOrder[[#This Row],[Antal]], tblRabatt[Min antal], tblRabatt[Rabattsats], , -1)</f>
        <v>0.05</v>
      </c>
      <c r="M325" s="19">
        <f t="shared" si="5"/>
        <v>53200</v>
      </c>
    </row>
    <row r="326" spans="1:13" x14ac:dyDescent="0.25">
      <c r="A326" s="4" t="s">
        <v>421</v>
      </c>
      <c r="B326" s="8">
        <v>46187</v>
      </c>
      <c r="C326" s="4" t="s">
        <v>390</v>
      </c>
      <c r="D326" s="4" t="s">
        <v>33</v>
      </c>
      <c r="E326" s="4" t="s">
        <v>223</v>
      </c>
      <c r="F326" s="3">
        <v>56</v>
      </c>
      <c r="G326" s="2" t="str">
        <f>_xlfn.XLOOKUP(tblOrder[[#This Row],[Produktkod]], tblProd[Produktkod], tblProd[Produktnamn])</f>
        <v>Skruvkit SK-100</v>
      </c>
      <c r="H326" s="2">
        <f>_xlfn.XLOOKUP(tblOrder[[#This Row],[Produktkod]], tblProd[Produktkod], tblProd[Styckpris])</f>
        <v>320</v>
      </c>
      <c r="I326" s="2">
        <f>_xlfn.XLOOKUP(tblOrder[[#This Row],[Produktkod]], tblProd[Produktkod], tblProd[Självkostnad/st])</f>
        <v>165</v>
      </c>
      <c r="J326" s="2" t="str">
        <f>_xlfn.XLOOKUP(tblOrder[[#This Row],[Kundkod]], tblKund[Kundkod], tblKund[Kund], "Okänd kund")</f>
        <v>Okänd kund</v>
      </c>
      <c r="K326" s="2">
        <f>tblOrder[[#This Row],[Antal]]*tblOrder[[#This Row],[Styckpris]]</f>
        <v>17920</v>
      </c>
      <c r="L326" s="14">
        <f>_xlfn.XLOOKUP(tblOrder[[#This Row],[Antal]], tblRabatt[Min antal], tblRabatt[Rabattsats], , -1)</f>
        <v>0.03</v>
      </c>
      <c r="M326" s="19">
        <f t="shared" si="5"/>
        <v>8680</v>
      </c>
    </row>
    <row r="327" spans="1:13" x14ac:dyDescent="0.25">
      <c r="A327" s="4" t="s">
        <v>422</v>
      </c>
      <c r="B327" s="8">
        <v>46188</v>
      </c>
      <c r="C327" s="4" t="s">
        <v>390</v>
      </c>
      <c r="D327" s="4" t="s">
        <v>35</v>
      </c>
      <c r="E327" s="4" t="s">
        <v>71</v>
      </c>
      <c r="F327" s="3">
        <v>51</v>
      </c>
      <c r="G327" s="2" t="str">
        <f>_xlfn.XLOOKUP(tblOrder[[#This Row],[Produktkod]], tblProd[Produktkod], tblProd[Produktnamn])</f>
        <v>Styrenhet CU-X1</v>
      </c>
      <c r="H327" s="2">
        <f>_xlfn.XLOOKUP(tblOrder[[#This Row],[Produktkod]], tblProd[Produktkod], tblProd[Styckpris])</f>
        <v>12500</v>
      </c>
      <c r="I327" s="2">
        <f>_xlfn.XLOOKUP(tblOrder[[#This Row],[Produktkod]], tblProd[Produktkod], tblProd[Självkostnad/st])</f>
        <v>8200</v>
      </c>
      <c r="J327" s="2" t="str">
        <f>_xlfn.XLOOKUP(tblOrder[[#This Row],[Kundkod]], tblKund[Kundkod], tblKund[Kund], "Okänd kund")</f>
        <v>Hydraul-Service AB</v>
      </c>
      <c r="K327" s="2">
        <f>tblOrder[[#This Row],[Antal]]*tblOrder[[#This Row],[Styckpris]]</f>
        <v>637500</v>
      </c>
      <c r="L327" s="14">
        <f>_xlfn.XLOOKUP(tblOrder[[#This Row],[Antal]], tblRabatt[Min antal], tblRabatt[Rabattsats], , -1)</f>
        <v>0.03</v>
      </c>
      <c r="M327" s="19">
        <f t="shared" si="5"/>
        <v>219300</v>
      </c>
    </row>
    <row r="328" spans="1:13" x14ac:dyDescent="0.25">
      <c r="A328" s="4" t="s">
        <v>423</v>
      </c>
      <c r="B328" s="8">
        <v>46189</v>
      </c>
      <c r="C328" s="4" t="s">
        <v>390</v>
      </c>
      <c r="D328" s="4" t="s">
        <v>24</v>
      </c>
      <c r="E328" s="4" t="s">
        <v>53</v>
      </c>
      <c r="F328" s="3">
        <v>21</v>
      </c>
      <c r="G328" s="2" t="str">
        <f>_xlfn.XLOOKUP(tblOrder[[#This Row],[Produktkod]], tblProd[Produktkod], tblProd[Produktnamn])</f>
        <v>Hydraulpump HP-200</v>
      </c>
      <c r="H328" s="2">
        <f>_xlfn.XLOOKUP(tblOrder[[#This Row],[Produktkod]], tblProd[Produktkod], tblProd[Styckpris])</f>
        <v>8900</v>
      </c>
      <c r="I328" s="2">
        <f>_xlfn.XLOOKUP(tblOrder[[#This Row],[Produktkod]], tblProd[Produktkod], tblProd[Självkostnad/st])</f>
        <v>5600</v>
      </c>
      <c r="J328" s="2" t="str">
        <f>_xlfn.XLOOKUP(tblOrder[[#This Row],[Kundkod]], tblKund[Kundkod], tblKund[Kund], "Okänd kund")</f>
        <v>Volvo Lastvagnar</v>
      </c>
      <c r="K328" s="2">
        <f>tblOrder[[#This Row],[Antal]]*tblOrder[[#This Row],[Styckpris]]</f>
        <v>186900</v>
      </c>
      <c r="L328" s="14">
        <f>_xlfn.XLOOKUP(tblOrder[[#This Row],[Antal]], tblRabatt[Min antal], tblRabatt[Rabattsats], , -1)</f>
        <v>0</v>
      </c>
      <c r="M328" s="19">
        <f t="shared" si="5"/>
        <v>69300</v>
      </c>
    </row>
    <row r="329" spans="1:13" x14ac:dyDescent="0.25">
      <c r="A329" s="4" t="s">
        <v>424</v>
      </c>
      <c r="B329" s="8">
        <v>46191</v>
      </c>
      <c r="C329" s="4" t="s">
        <v>390</v>
      </c>
      <c r="D329" s="4" t="s">
        <v>45</v>
      </c>
      <c r="E329" s="4" t="s">
        <v>74</v>
      </c>
      <c r="F329" s="3">
        <v>23</v>
      </c>
      <c r="G329" s="2" t="str">
        <f>_xlfn.XLOOKUP(tblOrder[[#This Row],[Produktkod]], tblProd[Produktkod], tblProd[Produktnamn])</f>
        <v>Tätningskit TK-9</v>
      </c>
      <c r="H329" s="2">
        <f>_xlfn.XLOOKUP(tblOrder[[#This Row],[Produktkod]], tblProd[Produktkod], tblProd[Styckpris])</f>
        <v>210</v>
      </c>
      <c r="I329" s="2">
        <f>_xlfn.XLOOKUP(tblOrder[[#This Row],[Produktkod]], tblProd[Produktkod], tblProd[Självkostnad/st])</f>
        <v>95</v>
      </c>
      <c r="J329" s="2" t="str">
        <f>_xlfn.XLOOKUP(tblOrder[[#This Row],[Kundkod]], tblKund[Kundkod], tblKund[Kund], "Okänd kund")</f>
        <v>Nordic Parts AS</v>
      </c>
      <c r="K329" s="2">
        <f>tblOrder[[#This Row],[Antal]]*tblOrder[[#This Row],[Styckpris]]</f>
        <v>4830</v>
      </c>
      <c r="L329" s="14">
        <f>_xlfn.XLOOKUP(tblOrder[[#This Row],[Antal]], tblRabatt[Min antal], tblRabatt[Rabattsats], , -1)</f>
        <v>0</v>
      </c>
      <c r="M329" s="19">
        <f t="shared" si="5"/>
        <v>2645</v>
      </c>
    </row>
    <row r="330" spans="1:13" x14ac:dyDescent="0.25">
      <c r="A330" s="4" t="s">
        <v>425</v>
      </c>
      <c r="B330" s="8">
        <v>46192</v>
      </c>
      <c r="C330" s="4" t="s">
        <v>390</v>
      </c>
      <c r="D330" s="4" t="s">
        <v>38</v>
      </c>
      <c r="E330" s="4" t="s">
        <v>59</v>
      </c>
      <c r="F330" s="3">
        <v>23</v>
      </c>
      <c r="G330" s="2" t="str">
        <f>_xlfn.XLOOKUP(tblOrder[[#This Row],[Produktkod]], tblProd[Produktkod], tblProd[Produktnamn])</f>
        <v>Sensor S-45</v>
      </c>
      <c r="H330" s="2">
        <f>_xlfn.XLOOKUP(tblOrder[[#This Row],[Produktkod]], tblProd[Produktkod], tblProd[Styckpris])</f>
        <v>2100</v>
      </c>
      <c r="I330" s="2">
        <f>_xlfn.XLOOKUP(tblOrder[[#This Row],[Produktkod]], tblProd[Produktkod], tblProd[Självkostnad/st])</f>
        <v>1180</v>
      </c>
      <c r="J330" s="2" t="str">
        <f>_xlfn.XLOOKUP(tblOrder[[#This Row],[Kundkod]], tblKund[Kundkod], tblKund[Kund], "Okänd kund")</f>
        <v>Kongsberg Automotive</v>
      </c>
      <c r="K330" s="2">
        <f>tblOrder[[#This Row],[Antal]]*tblOrder[[#This Row],[Styckpris]]</f>
        <v>48300</v>
      </c>
      <c r="L330" s="14">
        <f>_xlfn.XLOOKUP(tblOrder[[#This Row],[Antal]], tblRabatt[Min antal], tblRabatt[Rabattsats], , -1)</f>
        <v>0</v>
      </c>
      <c r="M330" s="19">
        <f t="shared" si="5"/>
        <v>21160</v>
      </c>
    </row>
    <row r="331" spans="1:13" x14ac:dyDescent="0.25">
      <c r="A331" s="4" t="s">
        <v>426</v>
      </c>
      <c r="B331" s="8">
        <v>46192</v>
      </c>
      <c r="C331" s="4" t="s">
        <v>390</v>
      </c>
      <c r="D331" s="4" t="s">
        <v>42</v>
      </c>
      <c r="E331" s="4" t="s">
        <v>57</v>
      </c>
      <c r="F331" s="3">
        <v>93</v>
      </c>
      <c r="G331" s="2" t="str">
        <f>_xlfn.XLOOKUP(tblOrder[[#This Row],[Produktkod]], tblProd[Produktkod], tblProd[Produktnamn])</f>
        <v>Lagersats LS-22</v>
      </c>
      <c r="H331" s="2">
        <f>_xlfn.XLOOKUP(tblOrder[[#This Row],[Produktkod]], tblProd[Produktkod], tblProd[Styckpris])</f>
        <v>650</v>
      </c>
      <c r="I331" s="2">
        <f>_xlfn.XLOOKUP(tblOrder[[#This Row],[Produktkod]], tblProd[Produktkod], tblProd[Självkostnad/st])</f>
        <v>380</v>
      </c>
      <c r="J331" s="2" t="str">
        <f>_xlfn.XLOOKUP(tblOrder[[#This Row],[Kundkod]], tblKund[Kundkod], tblKund[Kund], "Okänd kund")</f>
        <v>Scania CV</v>
      </c>
      <c r="K331" s="2">
        <f>tblOrder[[#This Row],[Antal]]*tblOrder[[#This Row],[Styckpris]]</f>
        <v>60450</v>
      </c>
      <c r="L331" s="14">
        <f>_xlfn.XLOOKUP(tblOrder[[#This Row],[Antal]], tblRabatt[Min antal], tblRabatt[Rabattsats], , -1)</f>
        <v>0.03</v>
      </c>
      <c r="M331" s="19">
        <f t="shared" si="5"/>
        <v>25110</v>
      </c>
    </row>
    <row r="332" spans="1:13" x14ac:dyDescent="0.25">
      <c r="A332" s="4" t="s">
        <v>427</v>
      </c>
      <c r="B332" s="8">
        <v>46193</v>
      </c>
      <c r="C332" s="4" t="s">
        <v>390</v>
      </c>
      <c r="D332" s="4" t="s">
        <v>40</v>
      </c>
      <c r="E332" s="4" t="s">
        <v>79</v>
      </c>
      <c r="F332" s="3">
        <v>364</v>
      </c>
      <c r="G332" s="2" t="str">
        <f>_xlfn.XLOOKUP(tblOrder[[#This Row],[Produktkod]], tblProd[Produktkod], tblProd[Produktnamn])</f>
        <v>Kabelhärva KH-7</v>
      </c>
      <c r="H332" s="2">
        <f>_xlfn.XLOOKUP(tblOrder[[#This Row],[Produktkod]], tblProd[Produktkod], tblProd[Styckpris])</f>
        <v>890</v>
      </c>
      <c r="I332" s="2">
        <f>_xlfn.XLOOKUP(tblOrder[[#This Row],[Produktkod]], tblProd[Produktkod], tblProd[Självkostnad/st])</f>
        <v>510</v>
      </c>
      <c r="J332" s="2" t="str">
        <f>_xlfn.XLOOKUP(tblOrder[[#This Row],[Kundkod]], tblKund[Kundkod], tblKund[Kund], "Okänd kund")</f>
        <v>Industrikomponenter</v>
      </c>
      <c r="K332" s="2">
        <f>tblOrder[[#This Row],[Antal]]*tblOrder[[#This Row],[Styckpris]]</f>
        <v>323960</v>
      </c>
      <c r="L332" s="14">
        <f>_xlfn.XLOOKUP(tblOrder[[#This Row],[Antal]], tblRabatt[Min antal], tblRabatt[Rabattsats], , -1)</f>
        <v>0.08</v>
      </c>
      <c r="M332" s="19">
        <f t="shared" si="5"/>
        <v>138320</v>
      </c>
    </row>
    <row r="333" spans="1:13" x14ac:dyDescent="0.25">
      <c r="A333" s="4" t="s">
        <v>428</v>
      </c>
      <c r="B333" s="8">
        <v>46194</v>
      </c>
      <c r="C333" s="4" t="s">
        <v>390</v>
      </c>
      <c r="D333" s="4" t="s">
        <v>38</v>
      </c>
      <c r="E333" s="4" t="s">
        <v>79</v>
      </c>
      <c r="F333" s="3">
        <v>51</v>
      </c>
      <c r="G333" s="2" t="str">
        <f>_xlfn.XLOOKUP(tblOrder[[#This Row],[Produktkod]], tblProd[Produktkod], tblProd[Produktnamn])</f>
        <v>Sensor S-45</v>
      </c>
      <c r="H333" s="2">
        <f>_xlfn.XLOOKUP(tblOrder[[#This Row],[Produktkod]], tblProd[Produktkod], tblProd[Styckpris])</f>
        <v>2100</v>
      </c>
      <c r="I333" s="2">
        <f>_xlfn.XLOOKUP(tblOrder[[#This Row],[Produktkod]], tblProd[Produktkod], tblProd[Självkostnad/st])</f>
        <v>1180</v>
      </c>
      <c r="J333" s="2" t="str">
        <f>_xlfn.XLOOKUP(tblOrder[[#This Row],[Kundkod]], tblKund[Kundkod], tblKund[Kund], "Okänd kund")</f>
        <v>Industrikomponenter</v>
      </c>
      <c r="K333" s="2">
        <f>tblOrder[[#This Row],[Antal]]*tblOrder[[#This Row],[Styckpris]]</f>
        <v>107100</v>
      </c>
      <c r="L333" s="14">
        <f>_xlfn.XLOOKUP(tblOrder[[#This Row],[Antal]], tblRabatt[Min antal], tblRabatt[Rabattsats], , -1)</f>
        <v>0.03</v>
      </c>
      <c r="M333" s="19">
        <f t="shared" si="5"/>
        <v>46920</v>
      </c>
    </row>
    <row r="334" spans="1:13" x14ac:dyDescent="0.25">
      <c r="A334" s="4" t="s">
        <v>429</v>
      </c>
      <c r="B334" s="8">
        <v>46195</v>
      </c>
      <c r="C334" s="4" t="s">
        <v>390</v>
      </c>
      <c r="D334" s="4" t="s">
        <v>24</v>
      </c>
      <c r="E334" s="4" t="s">
        <v>79</v>
      </c>
      <c r="F334" s="3">
        <v>35</v>
      </c>
      <c r="G334" s="2" t="str">
        <f>_xlfn.XLOOKUP(tblOrder[[#This Row],[Produktkod]], tblProd[Produktkod], tblProd[Produktnamn])</f>
        <v>Hydraulpump HP-200</v>
      </c>
      <c r="H334" s="2">
        <f>_xlfn.XLOOKUP(tblOrder[[#This Row],[Produktkod]], tblProd[Produktkod], tblProd[Styckpris])</f>
        <v>8900</v>
      </c>
      <c r="I334" s="2">
        <f>_xlfn.XLOOKUP(tblOrder[[#This Row],[Produktkod]], tblProd[Produktkod], tblProd[Självkostnad/st])</f>
        <v>5600</v>
      </c>
      <c r="J334" s="2" t="str">
        <f>_xlfn.XLOOKUP(tblOrder[[#This Row],[Kundkod]], tblKund[Kundkod], tblKund[Kund], "Okänd kund")</f>
        <v>Industrikomponenter</v>
      </c>
      <c r="K334" s="2">
        <f>tblOrder[[#This Row],[Antal]]*tblOrder[[#This Row],[Styckpris]]</f>
        <v>311500</v>
      </c>
      <c r="L334" s="14">
        <f>_xlfn.XLOOKUP(tblOrder[[#This Row],[Antal]], tblRabatt[Min antal], tblRabatt[Rabattsats], , -1)</f>
        <v>0</v>
      </c>
      <c r="M334" s="19">
        <f t="shared" si="5"/>
        <v>115500</v>
      </c>
    </row>
    <row r="335" spans="1:13" x14ac:dyDescent="0.25">
      <c r="A335" s="4" t="s">
        <v>430</v>
      </c>
      <c r="B335" s="8">
        <v>46197</v>
      </c>
      <c r="C335" s="4" t="s">
        <v>390</v>
      </c>
      <c r="D335" s="4" t="s">
        <v>28</v>
      </c>
      <c r="E335" s="4" t="s">
        <v>68</v>
      </c>
      <c r="F335" s="3">
        <v>39</v>
      </c>
      <c r="G335" s="2" t="str">
        <f>_xlfn.XLOOKUP(tblOrder[[#This Row],[Produktkod]], tblProd[Produktkod], tblProd[Produktnamn])</f>
        <v>Montagesats MS-10</v>
      </c>
      <c r="H335" s="2">
        <f>_xlfn.XLOOKUP(tblOrder[[#This Row],[Produktkod]], tblProd[Produktkod], tblProd[Styckpris])</f>
        <v>1250</v>
      </c>
      <c r="I335" s="2">
        <f>_xlfn.XLOOKUP(tblOrder[[#This Row],[Produktkod]], tblProd[Produktkod], tblProd[Självkostnad/st])</f>
        <v>720</v>
      </c>
      <c r="J335" s="2" t="str">
        <f>_xlfn.XLOOKUP(tblOrder[[#This Row],[Kundkod]], tblKund[Kundkod], tblKund[Kund], "Okänd kund")</f>
        <v>Bosch Rexroth</v>
      </c>
      <c r="K335" s="2">
        <f>tblOrder[[#This Row],[Antal]]*tblOrder[[#This Row],[Styckpris]]</f>
        <v>48750</v>
      </c>
      <c r="L335" s="14">
        <f>_xlfn.XLOOKUP(tblOrder[[#This Row],[Antal]], tblRabatt[Min antal], tblRabatt[Rabattsats], , -1)</f>
        <v>0</v>
      </c>
      <c r="M335" s="19">
        <f t="shared" si="5"/>
        <v>20670</v>
      </c>
    </row>
    <row r="336" spans="1:13" x14ac:dyDescent="0.25">
      <c r="A336" s="4" t="s">
        <v>431</v>
      </c>
      <c r="B336" s="8">
        <v>46197</v>
      </c>
      <c r="C336" s="4" t="s">
        <v>390</v>
      </c>
      <c r="D336" s="4" t="s">
        <v>31</v>
      </c>
      <c r="E336" s="4" t="s">
        <v>68</v>
      </c>
      <c r="F336" s="3">
        <v>37</v>
      </c>
      <c r="G336" s="2" t="str">
        <f>_xlfn.XLOOKUP(tblOrder[[#This Row],[Produktkod]], tblProd[Produktkod], tblProd[Produktnamn])</f>
        <v>Fästplatta FP-A4</v>
      </c>
      <c r="H336" s="2">
        <f>_xlfn.XLOOKUP(tblOrder[[#This Row],[Produktkod]], tblProd[Produktkod], tblProd[Styckpris])</f>
        <v>480</v>
      </c>
      <c r="I336" s="2">
        <f>_xlfn.XLOOKUP(tblOrder[[#This Row],[Produktkod]], tblProd[Produktkod], tblProd[Självkostnad/st])</f>
        <v>260</v>
      </c>
      <c r="J336" s="2" t="str">
        <f>_xlfn.XLOOKUP(tblOrder[[#This Row],[Kundkod]], tblKund[Kundkod], tblKund[Kund], "Okänd kund")</f>
        <v>Bosch Rexroth</v>
      </c>
      <c r="K336" s="2">
        <f>tblOrder[[#This Row],[Antal]]*tblOrder[[#This Row],[Styckpris]]</f>
        <v>17760</v>
      </c>
      <c r="L336" s="14">
        <f>_xlfn.XLOOKUP(tblOrder[[#This Row],[Antal]], tblRabatt[Min antal], tblRabatt[Rabattsats], , -1)</f>
        <v>0</v>
      </c>
      <c r="M336" s="19">
        <f t="shared" si="5"/>
        <v>8140</v>
      </c>
    </row>
    <row r="337" spans="1:13" x14ac:dyDescent="0.25">
      <c r="A337" s="4" t="s">
        <v>432</v>
      </c>
      <c r="B337" s="8">
        <v>46197</v>
      </c>
      <c r="C337" s="4" t="s">
        <v>390</v>
      </c>
      <c r="D337" s="4" t="s">
        <v>21</v>
      </c>
      <c r="E337" s="4" t="s">
        <v>62</v>
      </c>
      <c r="F337" s="3">
        <v>251</v>
      </c>
      <c r="G337" s="2" t="str">
        <f>_xlfn.XLOOKUP(tblOrder[[#This Row],[Produktkod]], tblProd[Produktkod], tblProd[Produktnamn])</f>
        <v>Hydraulcylinder HC-50</v>
      </c>
      <c r="H337" s="2">
        <f>_xlfn.XLOOKUP(tblOrder[[#This Row],[Produktkod]], tblProd[Produktkod], tblProd[Styckpris])</f>
        <v>4500</v>
      </c>
      <c r="I337" s="2">
        <f>_xlfn.XLOOKUP(tblOrder[[#This Row],[Produktkod]], tblProd[Produktkod], tblProd[Självkostnad/st])</f>
        <v>2800</v>
      </c>
      <c r="J337" s="2" t="str">
        <f>_xlfn.XLOOKUP(tblOrder[[#This Row],[Kundkod]], tblKund[Kundkod], tblKund[Kund], "Okänd kund")</f>
        <v>Danfoss A/S</v>
      </c>
      <c r="K337" s="2">
        <f>tblOrder[[#This Row],[Antal]]*tblOrder[[#This Row],[Styckpris]]</f>
        <v>1129500</v>
      </c>
      <c r="L337" s="14">
        <f>_xlfn.XLOOKUP(tblOrder[[#This Row],[Antal]], tblRabatt[Min antal], tblRabatt[Rabattsats], , -1)</f>
        <v>0.08</v>
      </c>
      <c r="M337" s="19">
        <f t="shared" si="5"/>
        <v>426700</v>
      </c>
    </row>
    <row r="338" spans="1:13" x14ac:dyDescent="0.25">
      <c r="A338" s="4" t="s">
        <v>433</v>
      </c>
      <c r="B338" s="8">
        <v>46197</v>
      </c>
      <c r="C338" s="4" t="s">
        <v>390</v>
      </c>
      <c r="D338" s="4" t="s">
        <v>21</v>
      </c>
      <c r="E338" s="4" t="s">
        <v>79</v>
      </c>
      <c r="F338" s="3">
        <v>139</v>
      </c>
      <c r="G338" s="2" t="str">
        <f>_xlfn.XLOOKUP(tblOrder[[#This Row],[Produktkod]], tblProd[Produktkod], tblProd[Produktnamn])</f>
        <v>Hydraulcylinder HC-50</v>
      </c>
      <c r="H338" s="2">
        <f>_xlfn.XLOOKUP(tblOrder[[#This Row],[Produktkod]], tblProd[Produktkod], tblProd[Styckpris])</f>
        <v>4500</v>
      </c>
      <c r="I338" s="2">
        <f>_xlfn.XLOOKUP(tblOrder[[#This Row],[Produktkod]], tblProd[Produktkod], tblProd[Självkostnad/st])</f>
        <v>2800</v>
      </c>
      <c r="J338" s="2" t="str">
        <f>_xlfn.XLOOKUP(tblOrder[[#This Row],[Kundkod]], tblKund[Kundkod], tblKund[Kund], "Okänd kund")</f>
        <v>Industrikomponenter</v>
      </c>
      <c r="K338" s="2">
        <f>tblOrder[[#This Row],[Antal]]*tblOrder[[#This Row],[Styckpris]]</f>
        <v>625500</v>
      </c>
      <c r="L338" s="14">
        <f>_xlfn.XLOOKUP(tblOrder[[#This Row],[Antal]], tblRabatt[Min antal], tblRabatt[Rabattsats], , -1)</f>
        <v>0.05</v>
      </c>
      <c r="M338" s="19">
        <f t="shared" si="5"/>
        <v>236300</v>
      </c>
    </row>
    <row r="339" spans="1:13" x14ac:dyDescent="0.25">
      <c r="A339" s="4" t="s">
        <v>434</v>
      </c>
      <c r="B339" s="8">
        <v>46198</v>
      </c>
      <c r="C339" s="4" t="s">
        <v>390</v>
      </c>
      <c r="D339" s="4" t="s">
        <v>45</v>
      </c>
      <c r="E339" s="4" t="s">
        <v>65</v>
      </c>
      <c r="F339" s="3">
        <v>402</v>
      </c>
      <c r="G339" s="2" t="str">
        <f>_xlfn.XLOOKUP(tblOrder[[#This Row],[Produktkod]], tblProd[Produktkod], tblProd[Produktnamn])</f>
        <v>Tätningskit TK-9</v>
      </c>
      <c r="H339" s="2">
        <f>_xlfn.XLOOKUP(tblOrder[[#This Row],[Produktkod]], tblProd[Produktkod], tblProd[Styckpris])</f>
        <v>210</v>
      </c>
      <c r="I339" s="2">
        <f>_xlfn.XLOOKUP(tblOrder[[#This Row],[Produktkod]], tblProd[Produktkod], tblProd[Självkostnad/st])</f>
        <v>95</v>
      </c>
      <c r="J339" s="2" t="str">
        <f>_xlfn.XLOOKUP(tblOrder[[#This Row],[Kundkod]], tblKund[Kundkod], tblKund[Kund], "Okänd kund")</f>
        <v>Wärtsilä</v>
      </c>
      <c r="K339" s="2">
        <f>tblOrder[[#This Row],[Antal]]*tblOrder[[#This Row],[Styckpris]]</f>
        <v>84420</v>
      </c>
      <c r="L339" s="14">
        <f>_xlfn.XLOOKUP(tblOrder[[#This Row],[Antal]], tblRabatt[Min antal], tblRabatt[Rabattsats], , -1)</f>
        <v>0.08</v>
      </c>
      <c r="M339" s="19">
        <f t="shared" si="5"/>
        <v>46230</v>
      </c>
    </row>
    <row r="340" spans="1:13" x14ac:dyDescent="0.25">
      <c r="A340" s="4" t="s">
        <v>435</v>
      </c>
      <c r="B340" s="8">
        <v>46199</v>
      </c>
      <c r="C340" s="4" t="s">
        <v>390</v>
      </c>
      <c r="D340" s="4" t="s">
        <v>24</v>
      </c>
      <c r="E340" s="4" t="s">
        <v>74</v>
      </c>
      <c r="F340" s="3">
        <v>84</v>
      </c>
      <c r="G340" s="2" t="str">
        <f>_xlfn.XLOOKUP(tblOrder[[#This Row],[Produktkod]], tblProd[Produktkod], tblProd[Produktnamn])</f>
        <v>Hydraulpump HP-200</v>
      </c>
      <c r="H340" s="2">
        <f>_xlfn.XLOOKUP(tblOrder[[#This Row],[Produktkod]], tblProd[Produktkod], tblProd[Styckpris])</f>
        <v>8900</v>
      </c>
      <c r="I340" s="2">
        <f>_xlfn.XLOOKUP(tblOrder[[#This Row],[Produktkod]], tblProd[Produktkod], tblProd[Självkostnad/st])</f>
        <v>5600</v>
      </c>
      <c r="J340" s="2" t="str">
        <f>_xlfn.XLOOKUP(tblOrder[[#This Row],[Kundkod]], tblKund[Kundkod], tblKund[Kund], "Okänd kund")</f>
        <v>Nordic Parts AS</v>
      </c>
      <c r="K340" s="2">
        <f>tblOrder[[#This Row],[Antal]]*tblOrder[[#This Row],[Styckpris]]</f>
        <v>747600</v>
      </c>
      <c r="L340" s="14">
        <f>_xlfn.XLOOKUP(tblOrder[[#This Row],[Antal]], tblRabatt[Min antal], tblRabatt[Rabattsats], , -1)</f>
        <v>0.03</v>
      </c>
      <c r="M340" s="19">
        <f t="shared" si="5"/>
        <v>277200</v>
      </c>
    </row>
    <row r="341" spans="1:13" x14ac:dyDescent="0.25">
      <c r="A341" s="4" t="s">
        <v>436</v>
      </c>
      <c r="B341" s="8">
        <v>46199</v>
      </c>
      <c r="C341" s="4" t="s">
        <v>390</v>
      </c>
      <c r="D341" s="4" t="s">
        <v>21</v>
      </c>
      <c r="E341" s="4" t="s">
        <v>74</v>
      </c>
      <c r="F341" s="3">
        <v>85</v>
      </c>
      <c r="G341" s="2" t="str">
        <f>_xlfn.XLOOKUP(tblOrder[[#This Row],[Produktkod]], tblProd[Produktkod], tblProd[Produktnamn])</f>
        <v>Hydraulcylinder HC-50</v>
      </c>
      <c r="H341" s="2">
        <f>_xlfn.XLOOKUP(tblOrder[[#This Row],[Produktkod]], tblProd[Produktkod], tblProd[Styckpris])</f>
        <v>4500</v>
      </c>
      <c r="I341" s="2">
        <f>_xlfn.XLOOKUP(tblOrder[[#This Row],[Produktkod]], tblProd[Produktkod], tblProd[Självkostnad/st])</f>
        <v>2800</v>
      </c>
      <c r="J341" s="2" t="str">
        <f>_xlfn.XLOOKUP(tblOrder[[#This Row],[Kundkod]], tblKund[Kundkod], tblKund[Kund], "Okänd kund")</f>
        <v>Nordic Parts AS</v>
      </c>
      <c r="K341" s="2">
        <f>tblOrder[[#This Row],[Antal]]*tblOrder[[#This Row],[Styckpris]]</f>
        <v>382500</v>
      </c>
      <c r="L341" s="14">
        <f>_xlfn.XLOOKUP(tblOrder[[#This Row],[Antal]], tblRabatt[Min antal], tblRabatt[Rabattsats], , -1)</f>
        <v>0.03</v>
      </c>
      <c r="M341" s="19">
        <f t="shared" si="5"/>
        <v>144500</v>
      </c>
    </row>
    <row r="342" spans="1:13" x14ac:dyDescent="0.25">
      <c r="A342" s="4" t="s">
        <v>437</v>
      </c>
      <c r="B342" s="8">
        <v>46199</v>
      </c>
      <c r="C342" s="4" t="s">
        <v>390</v>
      </c>
      <c r="D342" s="4" t="s">
        <v>28</v>
      </c>
      <c r="E342" s="4" t="s">
        <v>53</v>
      </c>
      <c r="F342" s="3">
        <v>74</v>
      </c>
      <c r="G342" s="2" t="str">
        <f>_xlfn.XLOOKUP(tblOrder[[#This Row],[Produktkod]], tblProd[Produktkod], tblProd[Produktnamn])</f>
        <v>Montagesats MS-10</v>
      </c>
      <c r="H342" s="2">
        <f>_xlfn.XLOOKUP(tblOrder[[#This Row],[Produktkod]], tblProd[Produktkod], tblProd[Styckpris])</f>
        <v>1250</v>
      </c>
      <c r="I342" s="2">
        <f>_xlfn.XLOOKUP(tblOrder[[#This Row],[Produktkod]], tblProd[Produktkod], tblProd[Självkostnad/st])</f>
        <v>720</v>
      </c>
      <c r="J342" s="2" t="str">
        <f>_xlfn.XLOOKUP(tblOrder[[#This Row],[Kundkod]], tblKund[Kundkod], tblKund[Kund], "Okänd kund")</f>
        <v>Volvo Lastvagnar</v>
      </c>
      <c r="K342" s="2">
        <f>tblOrder[[#This Row],[Antal]]*tblOrder[[#This Row],[Styckpris]]</f>
        <v>92500</v>
      </c>
      <c r="L342" s="14">
        <f>_xlfn.XLOOKUP(tblOrder[[#This Row],[Antal]], tblRabatt[Min antal], tblRabatt[Rabattsats], , -1)</f>
        <v>0.03</v>
      </c>
      <c r="M342" s="19">
        <f t="shared" si="5"/>
        <v>39220</v>
      </c>
    </row>
    <row r="343" spans="1:13" x14ac:dyDescent="0.25">
      <c r="A343" s="4" t="s">
        <v>438</v>
      </c>
      <c r="B343" s="8">
        <v>46199</v>
      </c>
      <c r="C343" s="4" t="s">
        <v>390</v>
      </c>
      <c r="D343" s="4" t="s">
        <v>45</v>
      </c>
      <c r="E343" s="4" t="s">
        <v>74</v>
      </c>
      <c r="F343" s="3">
        <v>95</v>
      </c>
      <c r="G343" s="2" t="str">
        <f>_xlfn.XLOOKUP(tblOrder[[#This Row],[Produktkod]], tblProd[Produktkod], tblProd[Produktnamn])</f>
        <v>Tätningskit TK-9</v>
      </c>
      <c r="H343" s="2">
        <f>_xlfn.XLOOKUP(tblOrder[[#This Row],[Produktkod]], tblProd[Produktkod], tblProd[Styckpris])</f>
        <v>210</v>
      </c>
      <c r="I343" s="2">
        <f>_xlfn.XLOOKUP(tblOrder[[#This Row],[Produktkod]], tblProd[Produktkod], tblProd[Självkostnad/st])</f>
        <v>95</v>
      </c>
      <c r="J343" s="2" t="str">
        <f>_xlfn.XLOOKUP(tblOrder[[#This Row],[Kundkod]], tblKund[Kundkod], tblKund[Kund], "Okänd kund")</f>
        <v>Nordic Parts AS</v>
      </c>
      <c r="K343" s="2">
        <f>tblOrder[[#This Row],[Antal]]*tblOrder[[#This Row],[Styckpris]]</f>
        <v>19950</v>
      </c>
      <c r="L343" s="14">
        <f>_xlfn.XLOOKUP(tblOrder[[#This Row],[Antal]], tblRabatt[Min antal], tblRabatt[Rabattsats], , -1)</f>
        <v>0.03</v>
      </c>
      <c r="M343" s="19">
        <f t="shared" si="5"/>
        <v>10925</v>
      </c>
    </row>
    <row r="344" spans="1:13" x14ac:dyDescent="0.25">
      <c r="A344" s="4" t="s">
        <v>439</v>
      </c>
      <c r="B344" s="8">
        <v>46199</v>
      </c>
      <c r="C344" s="4" t="s">
        <v>390</v>
      </c>
      <c r="D344" s="4" t="s">
        <v>38</v>
      </c>
      <c r="E344" s="4" t="s">
        <v>59</v>
      </c>
      <c r="F344" s="3">
        <v>164</v>
      </c>
      <c r="G344" s="2" t="str">
        <f>_xlfn.XLOOKUP(tblOrder[[#This Row],[Produktkod]], tblProd[Produktkod], tblProd[Produktnamn])</f>
        <v>Sensor S-45</v>
      </c>
      <c r="H344" s="2">
        <f>_xlfn.XLOOKUP(tblOrder[[#This Row],[Produktkod]], tblProd[Produktkod], tblProd[Styckpris])</f>
        <v>2100</v>
      </c>
      <c r="I344" s="2">
        <f>_xlfn.XLOOKUP(tblOrder[[#This Row],[Produktkod]], tblProd[Produktkod], tblProd[Självkostnad/st])</f>
        <v>1180</v>
      </c>
      <c r="J344" s="2" t="str">
        <f>_xlfn.XLOOKUP(tblOrder[[#This Row],[Kundkod]], tblKund[Kundkod], tblKund[Kund], "Okänd kund")</f>
        <v>Kongsberg Automotive</v>
      </c>
      <c r="K344" s="2">
        <f>tblOrder[[#This Row],[Antal]]*tblOrder[[#This Row],[Styckpris]]</f>
        <v>344400</v>
      </c>
      <c r="L344" s="14">
        <f>_xlfn.XLOOKUP(tblOrder[[#This Row],[Antal]], tblRabatt[Min antal], tblRabatt[Rabattsats], , -1)</f>
        <v>0.05</v>
      </c>
      <c r="M344" s="19">
        <f t="shared" si="5"/>
        <v>150880</v>
      </c>
    </row>
    <row r="345" spans="1:13" x14ac:dyDescent="0.25">
      <c r="A345" s="4" t="s">
        <v>440</v>
      </c>
      <c r="B345" s="8">
        <v>46199</v>
      </c>
      <c r="C345" s="4" t="s">
        <v>390</v>
      </c>
      <c r="D345" s="4" t="s">
        <v>21</v>
      </c>
      <c r="E345" s="4" t="s">
        <v>57</v>
      </c>
      <c r="F345" s="3">
        <v>64</v>
      </c>
      <c r="G345" s="2" t="str">
        <f>_xlfn.XLOOKUP(tblOrder[[#This Row],[Produktkod]], tblProd[Produktkod], tblProd[Produktnamn])</f>
        <v>Hydraulcylinder HC-50</v>
      </c>
      <c r="H345" s="2">
        <f>_xlfn.XLOOKUP(tblOrder[[#This Row],[Produktkod]], tblProd[Produktkod], tblProd[Styckpris])</f>
        <v>4500</v>
      </c>
      <c r="I345" s="2">
        <f>_xlfn.XLOOKUP(tblOrder[[#This Row],[Produktkod]], tblProd[Produktkod], tblProd[Självkostnad/st])</f>
        <v>2800</v>
      </c>
      <c r="J345" s="2" t="str">
        <f>_xlfn.XLOOKUP(tblOrder[[#This Row],[Kundkod]], tblKund[Kundkod], tblKund[Kund], "Okänd kund")</f>
        <v>Scania CV</v>
      </c>
      <c r="K345" s="2">
        <f>tblOrder[[#This Row],[Antal]]*tblOrder[[#This Row],[Styckpris]]</f>
        <v>288000</v>
      </c>
      <c r="L345" s="14">
        <f>_xlfn.XLOOKUP(tblOrder[[#This Row],[Antal]], tblRabatt[Min antal], tblRabatt[Rabattsats], , -1)</f>
        <v>0.03</v>
      </c>
      <c r="M345" s="19">
        <f t="shared" si="5"/>
        <v>108800</v>
      </c>
    </row>
    <row r="346" spans="1:13" x14ac:dyDescent="0.25">
      <c r="A346" s="4" t="s">
        <v>441</v>
      </c>
      <c r="B346" s="8">
        <v>46200</v>
      </c>
      <c r="C346" s="4" t="s">
        <v>390</v>
      </c>
      <c r="D346" s="4" t="s">
        <v>45</v>
      </c>
      <c r="E346" s="4" t="s">
        <v>71</v>
      </c>
      <c r="F346" s="3">
        <v>6</v>
      </c>
      <c r="G346" s="2" t="str">
        <f>_xlfn.XLOOKUP(tblOrder[[#This Row],[Produktkod]], tblProd[Produktkod], tblProd[Produktnamn])</f>
        <v>Tätningskit TK-9</v>
      </c>
      <c r="H346" s="2">
        <f>_xlfn.XLOOKUP(tblOrder[[#This Row],[Produktkod]], tblProd[Produktkod], tblProd[Styckpris])</f>
        <v>210</v>
      </c>
      <c r="I346" s="2">
        <f>_xlfn.XLOOKUP(tblOrder[[#This Row],[Produktkod]], tblProd[Produktkod], tblProd[Självkostnad/st])</f>
        <v>95</v>
      </c>
      <c r="J346" s="2" t="str">
        <f>_xlfn.XLOOKUP(tblOrder[[#This Row],[Kundkod]], tblKund[Kundkod], tblKund[Kund], "Okänd kund")</f>
        <v>Hydraul-Service AB</v>
      </c>
      <c r="K346" s="2">
        <f>tblOrder[[#This Row],[Antal]]*tblOrder[[#This Row],[Styckpris]]</f>
        <v>1260</v>
      </c>
      <c r="L346" s="14">
        <f>_xlfn.XLOOKUP(tblOrder[[#This Row],[Antal]], tblRabatt[Min antal], tblRabatt[Rabattsats], , -1)</f>
        <v>0</v>
      </c>
      <c r="M346" s="19">
        <f t="shared" si="5"/>
        <v>690</v>
      </c>
    </row>
    <row r="347" spans="1:13" x14ac:dyDescent="0.25">
      <c r="A347" s="4" t="s">
        <v>442</v>
      </c>
      <c r="B347" s="8">
        <v>46200</v>
      </c>
      <c r="C347" s="4" t="s">
        <v>390</v>
      </c>
      <c r="D347" s="4" t="s">
        <v>45</v>
      </c>
      <c r="E347" s="4" t="s">
        <v>68</v>
      </c>
      <c r="F347" s="3">
        <v>79</v>
      </c>
      <c r="G347" s="2" t="str">
        <f>_xlfn.XLOOKUP(tblOrder[[#This Row],[Produktkod]], tblProd[Produktkod], tblProd[Produktnamn])</f>
        <v>Tätningskit TK-9</v>
      </c>
      <c r="H347" s="2">
        <f>_xlfn.XLOOKUP(tblOrder[[#This Row],[Produktkod]], tblProd[Produktkod], tblProd[Styckpris])</f>
        <v>210</v>
      </c>
      <c r="I347" s="2">
        <f>_xlfn.XLOOKUP(tblOrder[[#This Row],[Produktkod]], tblProd[Produktkod], tblProd[Självkostnad/st])</f>
        <v>95</v>
      </c>
      <c r="J347" s="2" t="str">
        <f>_xlfn.XLOOKUP(tblOrder[[#This Row],[Kundkod]], tblKund[Kundkod], tblKund[Kund], "Okänd kund")</f>
        <v>Bosch Rexroth</v>
      </c>
      <c r="K347" s="2">
        <f>tblOrder[[#This Row],[Antal]]*tblOrder[[#This Row],[Styckpris]]</f>
        <v>16590</v>
      </c>
      <c r="L347" s="14">
        <f>_xlfn.XLOOKUP(tblOrder[[#This Row],[Antal]], tblRabatt[Min antal], tblRabatt[Rabattsats], , -1)</f>
        <v>0.03</v>
      </c>
      <c r="M347" s="19">
        <f t="shared" si="5"/>
        <v>9085</v>
      </c>
    </row>
    <row r="348" spans="1:13" x14ac:dyDescent="0.25">
      <c r="A348" s="4" t="s">
        <v>443</v>
      </c>
      <c r="B348" s="8">
        <v>46201</v>
      </c>
      <c r="C348" s="4" t="s">
        <v>390</v>
      </c>
      <c r="D348" s="4" t="s">
        <v>35</v>
      </c>
      <c r="E348" s="4" t="s">
        <v>76</v>
      </c>
      <c r="F348" s="3">
        <v>8</v>
      </c>
      <c r="G348" s="2" t="str">
        <f>_xlfn.XLOOKUP(tblOrder[[#This Row],[Produktkod]], tblProd[Produktkod], tblProd[Produktnamn])</f>
        <v>Styrenhet CU-X1</v>
      </c>
      <c r="H348" s="2">
        <f>_xlfn.XLOOKUP(tblOrder[[#This Row],[Produktkod]], tblProd[Produktkod], tblProd[Styckpris])</f>
        <v>12500</v>
      </c>
      <c r="I348" s="2">
        <f>_xlfn.XLOOKUP(tblOrder[[#This Row],[Produktkod]], tblProd[Produktkod], tblProd[Självkostnad/st])</f>
        <v>8200</v>
      </c>
      <c r="J348" s="2" t="str">
        <f>_xlfn.XLOOKUP(tblOrder[[#This Row],[Kundkod]], tblKund[Kundkod], tblKund[Kund], "Okänd kund")</f>
        <v>Maskin &amp; Verktyg</v>
      </c>
      <c r="K348" s="2">
        <f>tblOrder[[#This Row],[Antal]]*tblOrder[[#This Row],[Styckpris]]</f>
        <v>100000</v>
      </c>
      <c r="L348" s="14">
        <f>_xlfn.XLOOKUP(tblOrder[[#This Row],[Antal]], tblRabatt[Min antal], tblRabatt[Rabattsats], , -1)</f>
        <v>0</v>
      </c>
      <c r="M348" s="19">
        <f t="shared" si="5"/>
        <v>34400</v>
      </c>
    </row>
    <row r="349" spans="1:13" x14ac:dyDescent="0.25">
      <c r="A349" s="4" t="s">
        <v>444</v>
      </c>
      <c r="B349" s="8">
        <v>46201</v>
      </c>
      <c r="C349" s="4" t="s">
        <v>390</v>
      </c>
      <c r="D349" s="4" t="s">
        <v>28</v>
      </c>
      <c r="E349" s="4" t="s">
        <v>68</v>
      </c>
      <c r="F349" s="3">
        <v>259</v>
      </c>
      <c r="G349" s="2" t="str">
        <f>_xlfn.XLOOKUP(tblOrder[[#This Row],[Produktkod]], tblProd[Produktkod], tblProd[Produktnamn])</f>
        <v>Montagesats MS-10</v>
      </c>
      <c r="H349" s="2">
        <f>_xlfn.XLOOKUP(tblOrder[[#This Row],[Produktkod]], tblProd[Produktkod], tblProd[Styckpris])</f>
        <v>1250</v>
      </c>
      <c r="I349" s="2">
        <f>_xlfn.XLOOKUP(tblOrder[[#This Row],[Produktkod]], tblProd[Produktkod], tblProd[Självkostnad/st])</f>
        <v>720</v>
      </c>
      <c r="J349" s="2" t="str">
        <f>_xlfn.XLOOKUP(tblOrder[[#This Row],[Kundkod]], tblKund[Kundkod], tblKund[Kund], "Okänd kund")</f>
        <v>Bosch Rexroth</v>
      </c>
      <c r="K349" s="2">
        <f>tblOrder[[#This Row],[Antal]]*tblOrder[[#This Row],[Styckpris]]</f>
        <v>323750</v>
      </c>
      <c r="L349" s="14">
        <f>_xlfn.XLOOKUP(tblOrder[[#This Row],[Antal]], tblRabatt[Min antal], tblRabatt[Rabattsats], , -1)</f>
        <v>0.08</v>
      </c>
      <c r="M349" s="19">
        <f t="shared" si="5"/>
        <v>137270</v>
      </c>
    </row>
    <row r="350" spans="1:13" x14ac:dyDescent="0.25">
      <c r="A350" s="4" t="s">
        <v>445</v>
      </c>
      <c r="B350" s="8">
        <v>46201</v>
      </c>
      <c r="C350" s="4" t="s">
        <v>390</v>
      </c>
      <c r="D350" s="4" t="s">
        <v>45</v>
      </c>
      <c r="E350" s="4" t="s">
        <v>57</v>
      </c>
      <c r="F350" s="3">
        <v>752</v>
      </c>
      <c r="G350" s="2" t="str">
        <f>_xlfn.XLOOKUP(tblOrder[[#This Row],[Produktkod]], tblProd[Produktkod], tblProd[Produktnamn])</f>
        <v>Tätningskit TK-9</v>
      </c>
      <c r="H350" s="2">
        <f>_xlfn.XLOOKUP(tblOrder[[#This Row],[Produktkod]], tblProd[Produktkod], tblProd[Styckpris])</f>
        <v>210</v>
      </c>
      <c r="I350" s="2">
        <f>_xlfn.XLOOKUP(tblOrder[[#This Row],[Produktkod]], tblProd[Produktkod], tblProd[Självkostnad/st])</f>
        <v>95</v>
      </c>
      <c r="J350" s="2" t="str">
        <f>_xlfn.XLOOKUP(tblOrder[[#This Row],[Kundkod]], tblKund[Kundkod], tblKund[Kund], "Okänd kund")</f>
        <v>Scania CV</v>
      </c>
      <c r="K350" s="2">
        <f>tblOrder[[#This Row],[Antal]]*tblOrder[[#This Row],[Styckpris]]</f>
        <v>157920</v>
      </c>
      <c r="L350" s="14">
        <f>_xlfn.XLOOKUP(tblOrder[[#This Row],[Antal]], tblRabatt[Min antal], tblRabatt[Rabattsats], , -1)</f>
        <v>0.12</v>
      </c>
      <c r="M350" s="19">
        <f t="shared" si="5"/>
        <v>86480</v>
      </c>
    </row>
    <row r="351" spans="1:13" x14ac:dyDescent="0.25">
      <c r="A351" s="4" t="s">
        <v>446</v>
      </c>
      <c r="B351" s="8">
        <v>46201</v>
      </c>
      <c r="C351" s="4" t="s">
        <v>390</v>
      </c>
      <c r="D351" s="4" t="s">
        <v>40</v>
      </c>
      <c r="E351" s="4" t="s">
        <v>59</v>
      </c>
      <c r="F351" s="3">
        <v>198</v>
      </c>
      <c r="G351" s="2" t="str">
        <f>_xlfn.XLOOKUP(tblOrder[[#This Row],[Produktkod]], tblProd[Produktkod], tblProd[Produktnamn])</f>
        <v>Kabelhärva KH-7</v>
      </c>
      <c r="H351" s="2">
        <f>_xlfn.XLOOKUP(tblOrder[[#This Row],[Produktkod]], tblProd[Produktkod], tblProd[Styckpris])</f>
        <v>890</v>
      </c>
      <c r="I351" s="2">
        <f>_xlfn.XLOOKUP(tblOrder[[#This Row],[Produktkod]], tblProd[Produktkod], tblProd[Självkostnad/st])</f>
        <v>510</v>
      </c>
      <c r="J351" s="2" t="str">
        <f>_xlfn.XLOOKUP(tblOrder[[#This Row],[Kundkod]], tblKund[Kundkod], tblKund[Kund], "Okänd kund")</f>
        <v>Kongsberg Automotive</v>
      </c>
      <c r="K351" s="2">
        <f>tblOrder[[#This Row],[Antal]]*tblOrder[[#This Row],[Styckpris]]</f>
        <v>176220</v>
      </c>
      <c r="L351" s="14">
        <f>_xlfn.XLOOKUP(tblOrder[[#This Row],[Antal]], tblRabatt[Min antal], tblRabatt[Rabattsats], , -1)</f>
        <v>0.05</v>
      </c>
      <c r="M351" s="19">
        <f t="shared" si="5"/>
        <v>75240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1"/>
  <sheetViews>
    <sheetView showGridLines="0" workbookViewId="0">
      <selection activeCell="I6" sqref="I6"/>
    </sheetView>
  </sheetViews>
  <sheetFormatPr defaultRowHeight="15" x14ac:dyDescent="0.25"/>
  <cols>
    <col min="1" max="1" width="3" customWidth="1"/>
    <col min="2" max="3" width="30" customWidth="1"/>
    <col min="4" max="4" width="26" customWidth="1"/>
    <col min="5" max="5" width="20" customWidth="1"/>
  </cols>
  <sheetData>
    <row r="1" spans="2:2" ht="20.25" x14ac:dyDescent="0.3">
      <c r="B1" s="9" t="s">
        <v>0</v>
      </c>
    </row>
    <row r="2" spans="2:2" x14ac:dyDescent="0.25">
      <c r="B2" s="10" t="s">
        <v>1</v>
      </c>
    </row>
    <row r="4" spans="2:2" ht="15.75" x14ac:dyDescent="0.25">
      <c r="B4" s="12" t="s">
        <v>2</v>
      </c>
    </row>
    <row r="5" spans="2:2" x14ac:dyDescent="0.25">
      <c r="B5" s="11" t="s">
        <v>3</v>
      </c>
    </row>
    <row r="7" spans="2:2" ht="15.75" x14ac:dyDescent="0.25">
      <c r="B7" s="12" t="s">
        <v>4</v>
      </c>
    </row>
    <row r="8" spans="2:2" x14ac:dyDescent="0.25">
      <c r="B8" s="11" t="s">
        <v>5</v>
      </c>
    </row>
    <row r="10" spans="2:2" ht="15.75" x14ac:dyDescent="0.25">
      <c r="B10" s="12" t="s">
        <v>6</v>
      </c>
    </row>
    <row r="11" spans="2:2" x14ac:dyDescent="0.25">
      <c r="B11" s="11" t="s">
        <v>7</v>
      </c>
    </row>
    <row r="12" spans="2:2" x14ac:dyDescent="0.25">
      <c r="B12" s="11" t="s">
        <v>8</v>
      </c>
    </row>
    <row r="14" spans="2:2" ht="15.75" x14ac:dyDescent="0.25">
      <c r="B14" s="12" t="s">
        <v>9</v>
      </c>
    </row>
    <row r="15" spans="2:2" x14ac:dyDescent="0.25">
      <c r="B15" s="11" t="s">
        <v>10</v>
      </c>
    </row>
    <row r="17" spans="2:2" ht="15.75" x14ac:dyDescent="0.25">
      <c r="B17" s="12" t="s">
        <v>11</v>
      </c>
    </row>
    <row r="18" spans="2:2" x14ac:dyDescent="0.25">
      <c r="B18" s="11" t="s">
        <v>12</v>
      </c>
    </row>
    <row r="19" spans="2:2" x14ac:dyDescent="0.25">
      <c r="B19" s="11" t="s">
        <v>13</v>
      </c>
    </row>
    <row r="20" spans="2:2" x14ac:dyDescent="0.25">
      <c r="B20" s="11" t="s">
        <v>14</v>
      </c>
    </row>
    <row r="21" spans="2:2" x14ac:dyDescent="0.25">
      <c r="B21" s="11" t="s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E460-EDC4-46BB-BAA2-E02FB2CE2E18}">
  <dimension ref="A1:F7"/>
  <sheetViews>
    <sheetView workbookViewId="0"/>
  </sheetViews>
  <sheetFormatPr defaultRowHeight="15" x14ac:dyDescent="0.25"/>
  <sheetData>
    <row r="1" spans="1:6" x14ac:dyDescent="0.25">
      <c r="A1" t="s">
        <v>85</v>
      </c>
      <c r="B1" t="s">
        <v>87</v>
      </c>
      <c r="C1" t="s">
        <v>448</v>
      </c>
      <c r="E1" t="s">
        <v>18</v>
      </c>
      <c r="F1" t="s">
        <v>87</v>
      </c>
    </row>
    <row r="2" spans="1:6" x14ac:dyDescent="0.25">
      <c r="A2" t="str">
        <f>Dashboard!R3</f>
        <v>2026-01</v>
      </c>
      <c r="B2">
        <f>Dashboard!S3</f>
        <v>28612365</v>
      </c>
      <c r="C2">
        <f>Dashboard!T3</f>
        <v>10454806</v>
      </c>
      <c r="E2" t="str">
        <f>Dashboard!V3</f>
        <v>Hydraulik</v>
      </c>
      <c r="F2">
        <f>Dashboard!W3</f>
        <v>62533300</v>
      </c>
    </row>
    <row r="3" spans="1:6" x14ac:dyDescent="0.25">
      <c r="A3" t="str">
        <f>Dashboard!R4</f>
        <v>2026-02</v>
      </c>
      <c r="B3">
        <f>Dashboard!S4</f>
        <v>46151745</v>
      </c>
      <c r="C3">
        <f>Dashboard!T4</f>
        <v>17081122</v>
      </c>
      <c r="E3" t="str">
        <f>Dashboard!V4</f>
        <v>Montage</v>
      </c>
      <c r="F3">
        <f>Dashboard!W4</f>
        <v>9978470</v>
      </c>
    </row>
    <row r="4" spans="1:6" x14ac:dyDescent="0.25">
      <c r="A4" t="str">
        <f>Dashboard!R5</f>
        <v>2026-03</v>
      </c>
      <c r="B4">
        <f>Dashboard!S5</f>
        <v>23491020</v>
      </c>
      <c r="C4">
        <f>Dashboard!T5</f>
        <v>8831371</v>
      </c>
      <c r="E4" t="str">
        <f>Dashboard!V5</f>
        <v>Elektronik</v>
      </c>
      <c r="F4">
        <f>Dashboard!W5</f>
        <v>89102270</v>
      </c>
    </row>
    <row r="5" spans="1:6" x14ac:dyDescent="0.25">
      <c r="A5" t="str">
        <f>Dashboard!R6</f>
        <v>2026-04</v>
      </c>
      <c r="B5">
        <f>Dashboard!S6</f>
        <v>23419075</v>
      </c>
      <c r="C5">
        <f>Dashboard!T6</f>
        <v>8906976</v>
      </c>
      <c r="E5" t="str">
        <f>Dashboard!V6</f>
        <v>Reservdelar</v>
      </c>
      <c r="F5">
        <f>Dashboard!W6</f>
        <v>4158295</v>
      </c>
    </row>
    <row r="6" spans="1:6" x14ac:dyDescent="0.25">
      <c r="A6" t="str">
        <f>Dashboard!R7</f>
        <v>2026-05</v>
      </c>
      <c r="B6">
        <f>Dashboard!S7</f>
        <v>12029355</v>
      </c>
      <c r="C6">
        <f>Dashboard!T7</f>
        <v>4773868</v>
      </c>
    </row>
    <row r="7" spans="1:6" x14ac:dyDescent="0.25">
      <c r="A7" t="str">
        <f>Dashboard!R8</f>
        <v>2026-06</v>
      </c>
      <c r="B7">
        <f>Dashboard!S8</f>
        <v>32068775</v>
      </c>
      <c r="C7">
        <f>Dashboard!T8</f>
        <v>11646733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Produktregister</vt:lpstr>
      <vt:lpstr>Kundregister</vt:lpstr>
      <vt:lpstr>Rabattnivåer</vt:lpstr>
      <vt:lpstr>Order</vt:lpstr>
      <vt:lpstr>Uppgifter</vt:lpstr>
      <vt:lpstr>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Karlsson</cp:lastModifiedBy>
  <dcterms:created xsi:type="dcterms:W3CDTF">2026-06-05T21:09:38Z</dcterms:created>
  <dcterms:modified xsi:type="dcterms:W3CDTF">2026-06-06T17:25:50Z</dcterms:modified>
</cp:coreProperties>
</file>